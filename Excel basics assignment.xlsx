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ADD81C4C4F9A66/Documents/"/>
    </mc:Choice>
  </mc:AlternateContent>
  <xr:revisionPtr revIDLastSave="253" documentId="8_{581141B7-3738-491A-84A7-E60E6C089DDE}" xr6:coauthVersionLast="47" xr6:coauthVersionMax="47" xr10:uidLastSave="{6E926484-ABFE-45D6-8565-0DF5887DBD8F}"/>
  <bookViews>
    <workbookView xWindow="-108" yWindow="-108" windowWidth="23256" windowHeight="12456" activeTab="7" xr2:uid="{DD2397F2-45EA-48D7-8656-06CBC7611BD2}"/>
  </bookViews>
  <sheets>
    <sheet name="Q.1" sheetId="1" r:id="rId1"/>
    <sheet name="Q.2" sheetId="2" r:id="rId2"/>
    <sheet name="Q.3." sheetId="3" r:id="rId3"/>
    <sheet name="Q.4" sheetId="4" r:id="rId4"/>
    <sheet name="Q.5" sheetId="5" r:id="rId5"/>
    <sheet name="Q.6" sheetId="6" r:id="rId6"/>
    <sheet name="Q.7" sheetId="7" r:id="rId7"/>
    <sheet name="Q.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8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3" i="8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3" i="7"/>
  <c r="J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4" i="6"/>
  <c r="C8" i="3"/>
  <c r="I1" i="5"/>
  <c r="J4" i="4"/>
  <c r="C9" i="2"/>
  <c r="C8" i="2"/>
</calcChain>
</file>

<file path=xl/sharedStrings.xml><?xml version="1.0" encoding="utf-8"?>
<sst xmlns="http://schemas.openxmlformats.org/spreadsheetml/2006/main" count="1010" uniqueCount="122">
  <si>
    <t>Vehicle</t>
  </si>
  <si>
    <t>Price</t>
  </si>
  <si>
    <t>Car</t>
  </si>
  <si>
    <t>Bicycle</t>
  </si>
  <si>
    <t>Auto-Rickshaw</t>
  </si>
  <si>
    <t>1.Explain the difference between Relative , Absolute and Mixed Cell Referencing._x000B_   You have the following dataset:</t>
  </si>
  <si>
    <t>Ans-</t>
  </si>
  <si>
    <t>Relative cell referencing-  Changes when copied to another cell.</t>
  </si>
  <si>
    <t>Mxed cell referencing- Part of reference is fixed,part is relative.</t>
  </si>
  <si>
    <t>Absolute cell referencing- Does not change when copied anywhere.</t>
  </si>
  <si>
    <t>Q.2. Write a formula to calculate the total sales of Car and Bicyle only only.</t>
  </si>
  <si>
    <t>Q.3.Using the data below, write a formula to calculate the average sales of items priced above 100 but less than 300.</t>
  </si>
  <si>
    <t>Item</t>
  </si>
  <si>
    <t>Sales</t>
  </si>
  <si>
    <t>Item A</t>
  </si>
  <si>
    <t>Item B</t>
  </si>
  <si>
    <t>Item C</t>
  </si>
  <si>
    <t>Answer-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</si>
  <si>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</si>
  <si>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</si>
  <si>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</si>
  <si>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</si>
  <si>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</si>
  <si>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</si>
  <si>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</si>
  <si>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</si>
  <si>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</si>
  <si>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</si>
  <si>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</si>
  <si>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</si>
  <si>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</si>
  <si>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</si>
  <si>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</si>
  <si>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</si>
  <si>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</si>
  <si>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</si>
  <si>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</si>
  <si>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</si>
  <si>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</si>
  <si>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</si>
  <si>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</si>
  <si>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</si>
  <si>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</si>
  <si>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</si>
  <si>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</si>
  <si>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</si>
  <si>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</si>
  <si>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</si>
  <si>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</si>
  <si>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</si>
  <si>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</si>
  <si>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</si>
  <si>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</si>
  <si>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</si>
  <si>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</si>
  <si>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</si>
  <si>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</si>
  <si>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</si>
  <si>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</si>
  <si>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</si>
  <si>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</si>
  <si>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</si>
  <si>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</si>
  <si>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</si>
  <si>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</si>
  <si>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</si>
  <si>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</si>
  <si>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</si>
  <si>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</si>
  <si>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</si>
  <si>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</si>
  <si>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</si>
  <si>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</si>
  <si>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</si>
  <si>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</si>
  <si>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</si>
  <si>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</si>
  <si>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</si>
  <si>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</si>
  <si>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</si>
  <si>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</si>
  <si>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</si>
  <si>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</si>
  <si>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</si>
  <si>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</si>
  <si>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</si>
  <si>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</si>
  <si>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</si>
  <si>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</si>
  <si>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</si>
  <si>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</si>
  <si>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</si>
  <si>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</si>
  <si>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</si>
  <si>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</si>
  <si>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</si>
  <si>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</si>
  <si>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</si>
  <si>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</si>
  <si>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</si>
  <si>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</si>
  <si>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</si>
  <si>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</si>
  <si>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</si>
  <si>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</si>
  <si>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</si>
  <si>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</si>
  <si>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</si>
  <si>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</si>
  <si>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</si>
  <si>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We will use counta function it counts non-blank cell</t>
  </si>
  <si>
    <t xml:space="preserve">Number of Customer </t>
  </si>
  <si>
    <t>Q.5. Calculate the Total Sales for each row using a formula.</t>
  </si>
  <si>
    <t>Here we use Sumproduct</t>
  </si>
  <si>
    <t>Q.6. Calculate the total sales of Notebooks in the North region only.</t>
  </si>
  <si>
    <t>Q.7.Create a column chart showing total sales by product.</t>
  </si>
  <si>
    <t>Q.8.Insert a line chart showing daily sales trend.</t>
  </si>
  <si>
    <t>Here, we use averagifs formula</t>
  </si>
  <si>
    <t>Q4.Count how many customer names are recorded.</t>
  </si>
  <si>
    <t>Total sales</t>
  </si>
  <si>
    <t>Formula</t>
  </si>
  <si>
    <t>Here, we use sumifs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</si>
</sst>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9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right" wrapText="1"/>
    </xf>
    <xf numFmtId="0" fontId="2" fillId="0" borderId="3" xfId="0" applyFont="1" applyFill="1" applyBorder="1" applyAlignment="1">
      <alignment wrapText="1"/>
    </xf>
    <xf numFmtId="0" fontId="4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0" fillId="3" borderId="0" xfId="0" applyFill="1"/>
    <xf numFmtId="0" fontId="2" fillId="0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Q.7!$H$2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val>
            <c:numRef>
              <c:f>Q.7!$H$3:$H$52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8-4AEE-950D-5A59C6788FE7}"/>
            </c:ext>
          </c:extLst>
        </c:ser>
        <c:ser>
          <c:idx val="1"/>
          <c:order val="1"/>
          <c:tx>
            <c:strRef>
              <c:f>Q.7!$I$2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val>
            <c:numRef>
              <c:f>Q.7!$I$3:$I$52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68-4AEE-950D-5A59C6788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594336656"/>
        <c:axId val="594332816"/>
        <c:axId val="0"/>
      </c:bar3DChart>
      <c:catAx>
        <c:axId val="59433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332816"/>
        <c:crosses val="autoZero"/>
        <c:auto val="1"/>
        <c:lblAlgn val="ctr"/>
        <c:lblOffset val="100"/>
        <c:noMultiLvlLbl val="0"/>
      </c:catAx>
      <c:valAx>
        <c:axId val="59433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33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Q.8!$H$2</c:f>
              <c:strCache>
                <c:ptCount val="1"/>
                <c:pt idx="0">
                  <c:v>Total sales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Q.8!$G$3:$G$52</c:f>
              <c:strCache>
                <c:ptCount val="50"/>
                <c:pt idx="0">
                  <c:v>5/1/2024</c:v>
                </c:pt>
                <c:pt idx="1">
                  <c:v>6/1/2024</c:v>
                </c:pt>
                <c:pt idx="2">
                  <c:v>7/1/2024</c:v>
                </c:pt>
                <c:pt idx="3">
                  <c:v>8/1/2024</c:v>
                </c:pt>
                <c:pt idx="4">
                  <c:v>10/1/2024</c:v>
                </c:pt>
                <c:pt idx="5">
                  <c:v>11/1/2024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1/2/2024</c:v>
                </c:pt>
                <c:pt idx="20">
                  <c:v>2/2/2024</c:v>
                </c:pt>
                <c:pt idx="21">
                  <c:v>3/2/2024</c:v>
                </c:pt>
                <c:pt idx="22">
                  <c:v>4/2/2024</c:v>
                </c:pt>
                <c:pt idx="23">
                  <c:v>6/2/2024</c:v>
                </c:pt>
                <c:pt idx="24">
                  <c:v>7/2/2024</c:v>
                </c:pt>
                <c:pt idx="25">
                  <c:v>8/2/2024</c:v>
                </c:pt>
                <c:pt idx="26">
                  <c:v>9/2/2024</c:v>
                </c:pt>
                <c:pt idx="27">
                  <c:v>10/2/2024</c:v>
                </c:pt>
                <c:pt idx="28">
                  <c:v>12/2/2024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1/3/2024</c:v>
                </c:pt>
                <c:pt idx="43">
                  <c:v>2/3/2024</c:v>
                </c:pt>
                <c:pt idx="44">
                  <c:v>3/3/2024</c:v>
                </c:pt>
                <c:pt idx="45">
                  <c:v>4/3/2024</c:v>
                </c:pt>
                <c:pt idx="46">
                  <c:v>5/3/2024</c:v>
                </c:pt>
                <c:pt idx="47">
                  <c:v>6/3/2024</c:v>
                </c:pt>
                <c:pt idx="48">
                  <c:v>7/3/2024</c:v>
                </c:pt>
                <c:pt idx="49">
                  <c:v>8/3/2024</c:v>
                </c:pt>
              </c:strCache>
            </c:strRef>
          </c:cat>
          <c:val>
            <c:numRef>
              <c:f>Q.8!$H$3:$H$52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71-40C3-99F7-0D1E0BC5123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31328688"/>
        <c:axId val="631323408"/>
      </c:lineChart>
      <c:catAx>
        <c:axId val="6313286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323408"/>
        <c:crosses val="autoZero"/>
        <c:auto val="1"/>
        <c:lblAlgn val="ctr"/>
        <c:lblOffset val="100"/>
        <c:noMultiLvlLbl val="0"/>
      </c:catAx>
      <c:valAx>
        <c:axId val="631323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32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817147856517941E-2"/>
          <c:y val="0.16245370370370371"/>
          <c:w val="0.89030796150481195"/>
          <c:h val="0.5777161708953048"/>
        </c:manualLayout>
      </c:layout>
      <c:lineChart>
        <c:grouping val="stacked"/>
        <c:varyColors val="0"/>
        <c:ser>
          <c:idx val="0"/>
          <c:order val="0"/>
          <c:tx>
            <c:strRef>
              <c:f>Q.8!$H$2</c:f>
              <c:strCache>
                <c:ptCount val="1"/>
                <c:pt idx="0">
                  <c:v>Total sales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Q.8!$G$3:$G$52</c:f>
              <c:strCache>
                <c:ptCount val="50"/>
                <c:pt idx="0">
                  <c:v>5/1/2024</c:v>
                </c:pt>
                <c:pt idx="1">
                  <c:v>6/1/2024</c:v>
                </c:pt>
                <c:pt idx="2">
                  <c:v>7/1/2024</c:v>
                </c:pt>
                <c:pt idx="3">
                  <c:v>8/1/2024</c:v>
                </c:pt>
                <c:pt idx="4">
                  <c:v>10/1/2024</c:v>
                </c:pt>
                <c:pt idx="5">
                  <c:v>11/1/2024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1/2/2024</c:v>
                </c:pt>
                <c:pt idx="20">
                  <c:v>2/2/2024</c:v>
                </c:pt>
                <c:pt idx="21">
                  <c:v>3/2/2024</c:v>
                </c:pt>
                <c:pt idx="22">
                  <c:v>4/2/2024</c:v>
                </c:pt>
                <c:pt idx="23">
                  <c:v>6/2/2024</c:v>
                </c:pt>
                <c:pt idx="24">
                  <c:v>7/2/2024</c:v>
                </c:pt>
                <c:pt idx="25">
                  <c:v>8/2/2024</c:v>
                </c:pt>
                <c:pt idx="26">
                  <c:v>9/2/2024</c:v>
                </c:pt>
                <c:pt idx="27">
                  <c:v>10/2/2024</c:v>
                </c:pt>
                <c:pt idx="28">
                  <c:v>12/2/2024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1/3/2024</c:v>
                </c:pt>
                <c:pt idx="43">
                  <c:v>2/3/2024</c:v>
                </c:pt>
                <c:pt idx="44">
                  <c:v>3/3/2024</c:v>
                </c:pt>
                <c:pt idx="45">
                  <c:v>4/3/2024</c:v>
                </c:pt>
                <c:pt idx="46">
                  <c:v>5/3/2024</c:v>
                </c:pt>
                <c:pt idx="47">
                  <c:v>6/3/2024</c:v>
                </c:pt>
                <c:pt idx="48">
                  <c:v>7/3/2024</c:v>
                </c:pt>
                <c:pt idx="49">
                  <c:v>8/3/2024</c:v>
                </c:pt>
              </c:strCache>
            </c:strRef>
          </c:cat>
          <c:val>
            <c:numRef>
              <c:f>Q.8!$H$3:$H$52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6-4011-9314-0BEFAA76757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31328688"/>
        <c:axId val="631323408"/>
      </c:lineChart>
      <c:catAx>
        <c:axId val="6313286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323408"/>
        <c:crosses val="autoZero"/>
        <c:auto val="1"/>
        <c:lblAlgn val="ctr"/>
        <c:lblOffset val="100"/>
        <c:noMultiLvlLbl val="0"/>
      </c:catAx>
      <c:valAx>
        <c:axId val="631323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32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</xdr:row>
      <xdr:rowOff>72390</xdr:rowOff>
    </xdr:from>
    <xdr:to>
      <xdr:col>15</xdr:col>
      <xdr:colOff>365760</xdr:colOff>
      <xdr:row>11</xdr:row>
      <xdr:rowOff>304800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B8C951-DF92-CFF9-1D0F-693F85480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853440</xdr:colOff>
      <xdr:row>29</xdr:row>
      <xdr:rowOff>72390</xdr:rowOff>
    </xdr:from>
    <xdr:to>
      <xdr:col>12</xdr:col>
      <xdr:colOff>358140</xdr:colOff>
      <xdr:row>41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B4C84A-9C68-131F-F92F-AD9B6C821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129540</xdr:colOff>
      <xdr:row>1</xdr:row>
      <xdr:rowOff>121920</xdr:rowOff>
    </xdr:from>
    <xdr:to>
      <xdr:col>19</xdr:col>
      <xdr:colOff>533400</xdr:colOff>
      <xdr:row>20</xdr:row>
      <xdr:rowOff>205740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B8DA29-3CB3-4875-8242-B2640884D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24C3-88F9-4269-9381-F541B59B1342}">
  <dimension ref="A1:K9"/>
  <sheetViews>
    <sheetView workbookViewId="0">
      <selection activeCell="B2" sqref="B2:C5"/>
    </sheetView>
  </sheetViews>
  <sheetFormatPr defaultRowHeight="14.4" x14ac:dyDescent="0.3"/>
  <cols>
    <col min="2" max="2" width="14.109375" customWidth="1"/>
  </cols>
  <sheetData>
    <row r="1" spans="1:11" ht="25.8" customHeight="1" x14ac:dyDescent="0.3">
      <c r="A1" s="3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3">
      <c r="B2" s="2" t="s">
        <v>0</v>
      </c>
      <c r="C2" s="2" t="s">
        <v>1</v>
      </c>
    </row>
    <row r="3" spans="1:11" x14ac:dyDescent="0.3">
      <c r="B3" s="1" t="s">
        <v>2</v>
      </c>
      <c r="C3" s="1">
        <v>500000</v>
      </c>
    </row>
    <row r="4" spans="1:11" x14ac:dyDescent="0.3">
      <c r="B4" s="1" t="s">
        <v>3</v>
      </c>
      <c r="C4" s="1">
        <v>10500</v>
      </c>
    </row>
    <row r="5" spans="1:11" x14ac:dyDescent="0.3">
      <c r="B5" s="1" t="s">
        <v>4</v>
      </c>
      <c r="C5" s="1">
        <v>25000</v>
      </c>
    </row>
    <row r="7" spans="1:11" x14ac:dyDescent="0.3">
      <c r="A7" t="s">
        <v>6</v>
      </c>
      <c r="B7" s="3" t="s">
        <v>7</v>
      </c>
      <c r="C7" s="3"/>
      <c r="D7" s="3"/>
      <c r="E7" s="3"/>
      <c r="F7" s="3"/>
      <c r="G7" s="3"/>
    </row>
    <row r="8" spans="1:11" x14ac:dyDescent="0.3">
      <c r="B8" s="3" t="s">
        <v>9</v>
      </c>
      <c r="C8" s="3"/>
      <c r="D8" s="3"/>
      <c r="E8" s="3"/>
      <c r="F8" s="3"/>
      <c r="G8" s="3"/>
    </row>
    <row r="9" spans="1:11" x14ac:dyDescent="0.3">
      <c r="B9" s="3" t="s">
        <v>8</v>
      </c>
      <c r="C9" s="3"/>
      <c r="D9" s="3"/>
      <c r="E9" s="3"/>
      <c r="F9" s="3"/>
      <c r="G9" s="3"/>
    </row>
  </sheetData>
  <mergeCells count="4">
    <mergeCell ref="A1:K1"/>
    <mergeCell ref="B7:G7"/>
    <mergeCell ref="B8:G8"/>
    <mergeCell ref="B9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CF3F-F6B0-428B-A18C-7D2FC6CE5448}">
  <dimension ref="A1:H9"/>
  <sheetViews>
    <sheetView workbookViewId="0">
      <selection activeCell="C8" sqref="C8"/>
    </sheetView>
  </sheetViews>
  <sheetFormatPr defaultRowHeight="14.4" x14ac:dyDescent="0.3"/>
  <cols>
    <col min="2" max="2" width="12.77734375" customWidth="1"/>
  </cols>
  <sheetData>
    <row r="1" spans="1:8" x14ac:dyDescent="0.3">
      <c r="A1" s="3" t="s">
        <v>10</v>
      </c>
      <c r="B1" s="3"/>
      <c r="C1" s="3"/>
      <c r="D1" s="3"/>
      <c r="E1" s="3"/>
      <c r="F1" s="3"/>
      <c r="G1" s="3"/>
      <c r="H1" s="3"/>
    </row>
    <row r="3" spans="1:8" x14ac:dyDescent="0.3">
      <c r="A3" t="s">
        <v>6</v>
      </c>
      <c r="B3" s="2" t="s">
        <v>0</v>
      </c>
      <c r="C3" s="2" t="s">
        <v>1</v>
      </c>
    </row>
    <row r="4" spans="1:8" x14ac:dyDescent="0.3">
      <c r="B4" s="1" t="s">
        <v>2</v>
      </c>
      <c r="C4" s="1">
        <v>500000</v>
      </c>
    </row>
    <row r="5" spans="1:8" x14ac:dyDescent="0.3">
      <c r="B5" s="1" t="s">
        <v>3</v>
      </c>
      <c r="C5" s="1">
        <v>10500</v>
      </c>
    </row>
    <row r="6" spans="1:8" x14ac:dyDescent="0.3">
      <c r="B6" s="1" t="s">
        <v>4</v>
      </c>
      <c r="C6" s="1">
        <v>25000</v>
      </c>
    </row>
    <row r="8" spans="1:8" x14ac:dyDescent="0.3">
      <c r="B8" t="s">
        <v>2</v>
      </c>
      <c r="C8">
        <f>SUMIF($B$4:$B$6,$B8,$C$4:$C$6)</f>
        <v>500000</v>
      </c>
    </row>
    <row r="9" spans="1:8" x14ac:dyDescent="0.3">
      <c r="B9" t="s">
        <v>3</v>
      </c>
      <c r="C9">
        <f>SUMIF($B$4:$B$6,$B9,$C$4:$C$6)</f>
        <v>10500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CCE1C-0E9F-455D-ADCC-D0F0AE003D2C}">
  <dimension ref="A1:L8"/>
  <sheetViews>
    <sheetView workbookViewId="0">
      <selection activeCell="E8" sqref="E8"/>
    </sheetView>
  </sheetViews>
  <sheetFormatPr defaultRowHeight="14.4" x14ac:dyDescent="0.3"/>
  <sheetData>
    <row r="1" spans="1:12" x14ac:dyDescent="0.3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3" spans="1:12" x14ac:dyDescent="0.3">
      <c r="B3" s="2" t="s">
        <v>12</v>
      </c>
      <c r="C3" s="2" t="s">
        <v>1</v>
      </c>
      <c r="D3" s="2" t="s">
        <v>13</v>
      </c>
    </row>
    <row r="4" spans="1:12" x14ac:dyDescent="0.3">
      <c r="B4" s="1" t="s">
        <v>14</v>
      </c>
      <c r="C4" s="1">
        <v>90</v>
      </c>
      <c r="D4" s="1">
        <v>1000</v>
      </c>
    </row>
    <row r="5" spans="1:12" x14ac:dyDescent="0.3">
      <c r="B5" s="1" t="s">
        <v>15</v>
      </c>
      <c r="C5" s="1">
        <v>150</v>
      </c>
      <c r="D5" s="1">
        <v>1200</v>
      </c>
    </row>
    <row r="6" spans="1:12" x14ac:dyDescent="0.3">
      <c r="B6" s="1" t="s">
        <v>16</v>
      </c>
      <c r="C6" s="1">
        <v>250</v>
      </c>
      <c r="D6" s="1">
        <v>1500</v>
      </c>
    </row>
    <row r="8" spans="1:12" x14ac:dyDescent="0.3">
      <c r="B8" t="s">
        <v>6</v>
      </c>
      <c r="C8">
        <f>AVERAGEIFS(D4:D6,C4:C6,"&gt;100",C4:C6,"&lt;300")</f>
        <v>1350</v>
      </c>
      <c r="E8" t="s">
        <v>117</v>
      </c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49D0-5336-4640-8C55-EE1EE1D4239D}">
  <dimension ref="A1:L53"/>
  <sheetViews>
    <sheetView workbookViewId="0">
      <selection activeCell="J4" sqref="J4:K4"/>
    </sheetView>
  </sheetViews>
  <sheetFormatPr defaultRowHeight="20.399999999999999" customHeight="1" x14ac:dyDescent="0.3"/>
  <cols>
    <col min="2" max="2" width="12.88671875" customWidth="1"/>
    <col min="3" max="3" width="14.5546875" customWidth="1"/>
    <col min="5" max="5" width="16.21875" customWidth="1"/>
    <col min="8" max="8" width="15.6640625" customWidth="1"/>
  </cols>
  <sheetData>
    <row r="1" spans="1:12" ht="20.399999999999999" customHeight="1" x14ac:dyDescent="0.3">
      <c r="A1" s="3" t="s">
        <v>118</v>
      </c>
      <c r="B1" s="3"/>
      <c r="C1" s="3"/>
      <c r="D1" s="3"/>
      <c r="E1" s="3"/>
      <c r="F1" s="3"/>
      <c r="G1" s="3"/>
    </row>
    <row r="2" spans="1:12" ht="20.399999999999999" customHeight="1" thickBot="1" x14ac:dyDescent="0.35"/>
    <row r="3" spans="1:12" ht="20.399999999999999" customHeight="1" thickBot="1" x14ac:dyDescent="0.35"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J3" s="8" t="s">
        <v>17</v>
      </c>
    </row>
    <row r="4" spans="1:12" ht="20.399999999999999" customHeight="1" thickBot="1" x14ac:dyDescent="0.35">
      <c r="B4" s="5">
        <v>1001</v>
      </c>
      <c r="C4" s="6" t="s">
        <v>25</v>
      </c>
      <c r="D4" s="6" t="s">
        <v>26</v>
      </c>
      <c r="E4" s="6" t="s">
        <v>27</v>
      </c>
      <c r="F4" s="5">
        <v>10</v>
      </c>
      <c r="G4" s="5">
        <v>50</v>
      </c>
      <c r="H4" s="7">
        <v>45413</v>
      </c>
      <c r="J4" s="3">
        <f>COUNTA(C4:C53)</f>
        <v>50</v>
      </c>
      <c r="K4" s="3"/>
      <c r="L4" s="9" t="s">
        <v>111</v>
      </c>
    </row>
    <row r="5" spans="1:12" ht="20.399999999999999" customHeight="1" thickBot="1" x14ac:dyDescent="0.35">
      <c r="B5" s="5">
        <v>1002</v>
      </c>
      <c r="C5" s="6" t="s">
        <v>28</v>
      </c>
      <c r="D5" s="6" t="s">
        <v>29</v>
      </c>
      <c r="E5" s="6" t="s">
        <v>30</v>
      </c>
      <c r="F5" s="5">
        <v>20</v>
      </c>
      <c r="G5" s="5">
        <v>10</v>
      </c>
      <c r="H5" s="7">
        <v>45444</v>
      </c>
    </row>
    <row r="6" spans="1:12" ht="20.399999999999999" customHeight="1" thickBot="1" x14ac:dyDescent="0.35">
      <c r="B6" s="5">
        <v>1003</v>
      </c>
      <c r="C6" s="6" t="s">
        <v>31</v>
      </c>
      <c r="D6" s="6" t="s">
        <v>32</v>
      </c>
      <c r="E6" s="6" t="s">
        <v>33</v>
      </c>
      <c r="F6" s="5">
        <v>15</v>
      </c>
      <c r="G6" s="5">
        <v>25</v>
      </c>
      <c r="H6" s="7">
        <v>45474</v>
      </c>
      <c r="J6" t="s">
        <v>110</v>
      </c>
    </row>
    <row r="7" spans="1:12" ht="20.399999999999999" customHeight="1" thickBot="1" x14ac:dyDescent="0.35">
      <c r="B7" s="5">
        <v>1004</v>
      </c>
      <c r="C7" s="6" t="s">
        <v>34</v>
      </c>
      <c r="D7" s="6" t="s">
        <v>35</v>
      </c>
      <c r="E7" s="6" t="s">
        <v>27</v>
      </c>
      <c r="F7" s="5">
        <v>5</v>
      </c>
      <c r="G7" s="5">
        <v>50</v>
      </c>
      <c r="H7" s="7">
        <v>45505</v>
      </c>
    </row>
    <row r="8" spans="1:12" ht="20.399999999999999" customHeight="1" thickBot="1" x14ac:dyDescent="0.35">
      <c r="B8" s="5">
        <v>1005</v>
      </c>
      <c r="C8" s="6" t="s">
        <v>36</v>
      </c>
      <c r="D8" s="6" t="s">
        <v>26</v>
      </c>
      <c r="E8" s="6" t="s">
        <v>37</v>
      </c>
      <c r="F8" s="5">
        <v>30</v>
      </c>
      <c r="G8" s="5">
        <v>5</v>
      </c>
      <c r="H8" s="7">
        <v>45566</v>
      </c>
    </row>
    <row r="9" spans="1:12" ht="20.399999999999999" customHeight="1" thickBot="1" x14ac:dyDescent="0.35">
      <c r="B9" s="5">
        <v>1006</v>
      </c>
      <c r="C9" s="6" t="s">
        <v>38</v>
      </c>
      <c r="D9" s="6" t="s">
        <v>29</v>
      </c>
      <c r="E9" s="6" t="s">
        <v>27</v>
      </c>
      <c r="F9" s="5">
        <v>12</v>
      </c>
      <c r="G9" s="5">
        <v>50</v>
      </c>
      <c r="H9" s="7">
        <v>45597</v>
      </c>
    </row>
    <row r="10" spans="1:12" ht="20.399999999999999" customHeight="1" thickBot="1" x14ac:dyDescent="0.35">
      <c r="B10" s="5">
        <v>1007</v>
      </c>
      <c r="C10" s="6" t="s">
        <v>39</v>
      </c>
      <c r="D10" s="6" t="s">
        <v>32</v>
      </c>
      <c r="E10" s="6" t="s">
        <v>40</v>
      </c>
      <c r="F10" s="5">
        <v>25</v>
      </c>
      <c r="G10" s="5">
        <v>8</v>
      </c>
      <c r="H10" s="5" t="s">
        <v>41</v>
      </c>
    </row>
    <row r="11" spans="1:12" ht="20.399999999999999" customHeight="1" thickBot="1" x14ac:dyDescent="0.35">
      <c r="B11" s="5">
        <v>1008</v>
      </c>
      <c r="C11" s="6" t="s">
        <v>42</v>
      </c>
      <c r="D11" s="6" t="s">
        <v>35</v>
      </c>
      <c r="E11" s="6" t="s">
        <v>30</v>
      </c>
      <c r="F11" s="5">
        <v>18</v>
      </c>
      <c r="G11" s="5">
        <v>10</v>
      </c>
      <c r="H11" s="5" t="s">
        <v>43</v>
      </c>
    </row>
    <row r="12" spans="1:12" ht="20.399999999999999" customHeight="1" thickBot="1" x14ac:dyDescent="0.35">
      <c r="B12" s="5">
        <v>1009</v>
      </c>
      <c r="C12" s="6" t="s">
        <v>44</v>
      </c>
      <c r="D12" s="6" t="s">
        <v>26</v>
      </c>
      <c r="E12" s="6" t="s">
        <v>33</v>
      </c>
      <c r="F12" s="5">
        <v>22</v>
      </c>
      <c r="G12" s="5">
        <v>25</v>
      </c>
      <c r="H12" s="5" t="s">
        <v>45</v>
      </c>
    </row>
    <row r="13" spans="1:12" ht="20.399999999999999" customHeight="1" thickBot="1" x14ac:dyDescent="0.35">
      <c r="B13" s="5">
        <v>1010</v>
      </c>
      <c r="C13" s="6" t="s">
        <v>46</v>
      </c>
      <c r="D13" s="6" t="s">
        <v>29</v>
      </c>
      <c r="E13" s="6" t="s">
        <v>27</v>
      </c>
      <c r="F13" s="5">
        <v>8</v>
      </c>
      <c r="G13" s="5">
        <v>50</v>
      </c>
      <c r="H13" s="5" t="s">
        <v>47</v>
      </c>
    </row>
    <row r="14" spans="1:12" ht="20.399999999999999" customHeight="1" thickBot="1" x14ac:dyDescent="0.35">
      <c r="B14" s="5">
        <v>1011</v>
      </c>
      <c r="C14" s="6" t="s">
        <v>48</v>
      </c>
      <c r="D14" s="6" t="s">
        <v>32</v>
      </c>
      <c r="E14" s="6" t="s">
        <v>37</v>
      </c>
      <c r="F14" s="5">
        <v>40</v>
      </c>
      <c r="G14" s="5">
        <v>5</v>
      </c>
      <c r="H14" s="5" t="s">
        <v>49</v>
      </c>
    </row>
    <row r="15" spans="1:12" ht="20.399999999999999" customHeight="1" thickBot="1" x14ac:dyDescent="0.35">
      <c r="B15" s="5">
        <v>1012</v>
      </c>
      <c r="C15" s="6" t="s">
        <v>50</v>
      </c>
      <c r="D15" s="6" t="s">
        <v>35</v>
      </c>
      <c r="E15" s="6" t="s">
        <v>40</v>
      </c>
      <c r="F15" s="5">
        <v>35</v>
      </c>
      <c r="G15" s="5">
        <v>8</v>
      </c>
      <c r="H15" s="5" t="s">
        <v>51</v>
      </c>
    </row>
    <row r="16" spans="1:12" ht="20.399999999999999" customHeight="1" thickBot="1" x14ac:dyDescent="0.35">
      <c r="B16" s="5">
        <v>1013</v>
      </c>
      <c r="C16" s="6" t="s">
        <v>52</v>
      </c>
      <c r="D16" s="6" t="s">
        <v>26</v>
      </c>
      <c r="E16" s="6" t="s">
        <v>27</v>
      </c>
      <c r="F16" s="5">
        <v>14</v>
      </c>
      <c r="G16" s="5">
        <v>50</v>
      </c>
      <c r="H16" s="5" t="s">
        <v>53</v>
      </c>
    </row>
    <row r="17" spans="2:8" ht="20.399999999999999" customHeight="1" thickBot="1" x14ac:dyDescent="0.35">
      <c r="B17" s="5">
        <v>1014</v>
      </c>
      <c r="C17" s="6" t="s">
        <v>54</v>
      </c>
      <c r="D17" s="6" t="s">
        <v>29</v>
      </c>
      <c r="E17" s="6" t="s">
        <v>30</v>
      </c>
      <c r="F17" s="5">
        <v>28</v>
      </c>
      <c r="G17" s="5">
        <v>10</v>
      </c>
      <c r="H17" s="5" t="s">
        <v>55</v>
      </c>
    </row>
    <row r="18" spans="2:8" ht="20.399999999999999" customHeight="1" thickBot="1" x14ac:dyDescent="0.35">
      <c r="B18" s="5">
        <v>1015</v>
      </c>
      <c r="C18" s="6" t="s">
        <v>56</v>
      </c>
      <c r="D18" s="6" t="s">
        <v>32</v>
      </c>
      <c r="E18" s="6" t="s">
        <v>33</v>
      </c>
      <c r="F18" s="5">
        <v>12</v>
      </c>
      <c r="G18" s="5">
        <v>25</v>
      </c>
      <c r="H18" s="5" t="s">
        <v>57</v>
      </c>
    </row>
    <row r="19" spans="2:8" ht="20.399999999999999" customHeight="1" thickBot="1" x14ac:dyDescent="0.35">
      <c r="B19" s="5">
        <v>1016</v>
      </c>
      <c r="C19" s="6" t="s">
        <v>58</v>
      </c>
      <c r="D19" s="6" t="s">
        <v>35</v>
      </c>
      <c r="E19" s="6" t="s">
        <v>37</v>
      </c>
      <c r="F19" s="5">
        <v>25</v>
      </c>
      <c r="G19" s="5">
        <v>5</v>
      </c>
      <c r="H19" s="5" t="s">
        <v>59</v>
      </c>
    </row>
    <row r="20" spans="2:8" ht="20.399999999999999" customHeight="1" thickBot="1" x14ac:dyDescent="0.35">
      <c r="B20" s="5">
        <v>1017</v>
      </c>
      <c r="C20" s="6" t="s">
        <v>60</v>
      </c>
      <c r="D20" s="6" t="s">
        <v>26</v>
      </c>
      <c r="E20" s="6" t="s">
        <v>40</v>
      </c>
      <c r="F20" s="5">
        <v>20</v>
      </c>
      <c r="G20" s="5">
        <v>8</v>
      </c>
      <c r="H20" s="5" t="s">
        <v>61</v>
      </c>
    </row>
    <row r="21" spans="2:8" ht="20.399999999999999" customHeight="1" thickBot="1" x14ac:dyDescent="0.35">
      <c r="B21" s="5">
        <v>1018</v>
      </c>
      <c r="C21" s="6" t="s">
        <v>62</v>
      </c>
      <c r="D21" s="6" t="s">
        <v>29</v>
      </c>
      <c r="E21" s="6" t="s">
        <v>27</v>
      </c>
      <c r="F21" s="5">
        <v>10</v>
      </c>
      <c r="G21" s="5">
        <v>50</v>
      </c>
      <c r="H21" s="5" t="s">
        <v>63</v>
      </c>
    </row>
    <row r="22" spans="2:8" ht="20.399999999999999" customHeight="1" thickBot="1" x14ac:dyDescent="0.35">
      <c r="B22" s="5">
        <v>1019</v>
      </c>
      <c r="C22" s="6" t="s">
        <v>64</v>
      </c>
      <c r="D22" s="6" t="s">
        <v>32</v>
      </c>
      <c r="E22" s="6" t="s">
        <v>30</v>
      </c>
      <c r="F22" s="5">
        <v>15</v>
      </c>
      <c r="G22" s="5">
        <v>10</v>
      </c>
      <c r="H22" s="5" t="s">
        <v>65</v>
      </c>
    </row>
    <row r="23" spans="2:8" ht="20.399999999999999" customHeight="1" thickBot="1" x14ac:dyDescent="0.35">
      <c r="B23" s="5">
        <v>1020</v>
      </c>
      <c r="C23" s="6" t="s">
        <v>66</v>
      </c>
      <c r="D23" s="6" t="s">
        <v>35</v>
      </c>
      <c r="E23" s="6" t="s">
        <v>33</v>
      </c>
      <c r="F23" s="5">
        <v>18</v>
      </c>
      <c r="G23" s="5">
        <v>25</v>
      </c>
      <c r="H23" s="7">
        <v>45293</v>
      </c>
    </row>
    <row r="24" spans="2:8" ht="20.399999999999999" customHeight="1" thickBot="1" x14ac:dyDescent="0.35">
      <c r="B24" s="5">
        <v>1021</v>
      </c>
      <c r="C24" s="6" t="s">
        <v>67</v>
      </c>
      <c r="D24" s="6" t="s">
        <v>26</v>
      </c>
      <c r="E24" s="6" t="s">
        <v>27</v>
      </c>
      <c r="F24" s="5">
        <v>9</v>
      </c>
      <c r="G24" s="5">
        <v>50</v>
      </c>
      <c r="H24" s="7">
        <v>45324</v>
      </c>
    </row>
    <row r="25" spans="2:8" ht="20.399999999999999" customHeight="1" thickBot="1" x14ac:dyDescent="0.35">
      <c r="B25" s="5">
        <v>1022</v>
      </c>
      <c r="C25" s="6" t="s">
        <v>68</v>
      </c>
      <c r="D25" s="6" t="s">
        <v>29</v>
      </c>
      <c r="E25" s="6" t="s">
        <v>37</v>
      </c>
      <c r="F25" s="5">
        <v>35</v>
      </c>
      <c r="G25" s="5">
        <v>5</v>
      </c>
      <c r="H25" s="7">
        <v>45353</v>
      </c>
    </row>
    <row r="26" spans="2:8" ht="20.399999999999999" customHeight="1" thickBot="1" x14ac:dyDescent="0.35">
      <c r="B26" s="5">
        <v>1023</v>
      </c>
      <c r="C26" s="6" t="s">
        <v>69</v>
      </c>
      <c r="D26" s="6" t="s">
        <v>32</v>
      </c>
      <c r="E26" s="6" t="s">
        <v>40</v>
      </c>
      <c r="F26" s="5">
        <v>30</v>
      </c>
      <c r="G26" s="5">
        <v>8</v>
      </c>
      <c r="H26" s="7">
        <v>45384</v>
      </c>
    </row>
    <row r="27" spans="2:8" ht="20.399999999999999" customHeight="1" thickBot="1" x14ac:dyDescent="0.35">
      <c r="B27" s="5">
        <v>1024</v>
      </c>
      <c r="C27" s="6" t="s">
        <v>70</v>
      </c>
      <c r="D27" s="6" t="s">
        <v>35</v>
      </c>
      <c r="E27" s="6" t="s">
        <v>27</v>
      </c>
      <c r="F27" s="5">
        <v>11</v>
      </c>
      <c r="G27" s="5">
        <v>50</v>
      </c>
      <c r="H27" s="7">
        <v>45445</v>
      </c>
    </row>
    <row r="28" spans="2:8" ht="20.399999999999999" customHeight="1" thickBot="1" x14ac:dyDescent="0.35">
      <c r="B28" s="5">
        <v>1025</v>
      </c>
      <c r="C28" s="6" t="s">
        <v>71</v>
      </c>
      <c r="D28" s="6" t="s">
        <v>26</v>
      </c>
      <c r="E28" s="6" t="s">
        <v>30</v>
      </c>
      <c r="F28" s="5">
        <v>14</v>
      </c>
      <c r="G28" s="5">
        <v>10</v>
      </c>
      <c r="H28" s="7">
        <v>45475</v>
      </c>
    </row>
    <row r="29" spans="2:8" ht="20.399999999999999" customHeight="1" thickBot="1" x14ac:dyDescent="0.35">
      <c r="B29" s="5">
        <v>1026</v>
      </c>
      <c r="C29" s="6" t="s">
        <v>72</v>
      </c>
      <c r="D29" s="6" t="s">
        <v>29</v>
      </c>
      <c r="E29" s="6" t="s">
        <v>33</v>
      </c>
      <c r="F29" s="5">
        <v>16</v>
      </c>
      <c r="G29" s="5">
        <v>25</v>
      </c>
      <c r="H29" s="7">
        <v>45506</v>
      </c>
    </row>
    <row r="30" spans="2:8" ht="20.399999999999999" customHeight="1" thickBot="1" x14ac:dyDescent="0.35">
      <c r="B30" s="5">
        <v>1027</v>
      </c>
      <c r="C30" s="6" t="s">
        <v>73</v>
      </c>
      <c r="D30" s="6" t="s">
        <v>32</v>
      </c>
      <c r="E30" s="6" t="s">
        <v>37</v>
      </c>
      <c r="F30" s="5">
        <v>22</v>
      </c>
      <c r="G30" s="5">
        <v>5</v>
      </c>
      <c r="H30" s="7">
        <v>45537</v>
      </c>
    </row>
    <row r="31" spans="2:8" ht="20.399999999999999" customHeight="1" thickBot="1" x14ac:dyDescent="0.35">
      <c r="B31" s="5">
        <v>1028</v>
      </c>
      <c r="C31" s="6" t="s">
        <v>74</v>
      </c>
      <c r="D31" s="6" t="s">
        <v>35</v>
      </c>
      <c r="E31" s="6" t="s">
        <v>40</v>
      </c>
      <c r="F31" s="5">
        <v>27</v>
      </c>
      <c r="G31" s="5">
        <v>8</v>
      </c>
      <c r="H31" s="7">
        <v>45567</v>
      </c>
    </row>
    <row r="32" spans="2:8" ht="20.399999999999999" customHeight="1" thickBot="1" x14ac:dyDescent="0.35">
      <c r="B32" s="5">
        <v>1029</v>
      </c>
      <c r="C32" s="6" t="s">
        <v>75</v>
      </c>
      <c r="D32" s="6" t="s">
        <v>26</v>
      </c>
      <c r="E32" s="6" t="s">
        <v>27</v>
      </c>
      <c r="F32" s="5">
        <v>13</v>
      </c>
      <c r="G32" s="5">
        <v>50</v>
      </c>
      <c r="H32" s="7">
        <v>45628</v>
      </c>
    </row>
    <row r="33" spans="2:8" ht="20.399999999999999" customHeight="1" thickBot="1" x14ac:dyDescent="0.35">
      <c r="B33" s="5">
        <v>1030</v>
      </c>
      <c r="C33" s="6" t="s">
        <v>76</v>
      </c>
      <c r="D33" s="6" t="s">
        <v>29</v>
      </c>
      <c r="E33" s="6" t="s">
        <v>30</v>
      </c>
      <c r="F33" s="5">
        <v>32</v>
      </c>
      <c r="G33" s="5">
        <v>10</v>
      </c>
      <c r="H33" s="5" t="s">
        <v>77</v>
      </c>
    </row>
    <row r="34" spans="2:8" ht="20.399999999999999" customHeight="1" thickBot="1" x14ac:dyDescent="0.35">
      <c r="B34" s="5">
        <v>1031</v>
      </c>
      <c r="C34" s="6" t="s">
        <v>78</v>
      </c>
      <c r="D34" s="6" t="s">
        <v>32</v>
      </c>
      <c r="E34" s="6" t="s">
        <v>33</v>
      </c>
      <c r="F34" s="5">
        <v>10</v>
      </c>
      <c r="G34" s="5">
        <v>25</v>
      </c>
      <c r="H34" s="5" t="s">
        <v>79</v>
      </c>
    </row>
    <row r="35" spans="2:8" ht="20.399999999999999" customHeight="1" thickBot="1" x14ac:dyDescent="0.35">
      <c r="B35" s="5">
        <v>1032</v>
      </c>
      <c r="C35" s="6" t="s">
        <v>80</v>
      </c>
      <c r="D35" s="6" t="s">
        <v>35</v>
      </c>
      <c r="E35" s="6" t="s">
        <v>37</v>
      </c>
      <c r="F35" s="5">
        <v>18</v>
      </c>
      <c r="G35" s="5">
        <v>5</v>
      </c>
      <c r="H35" s="5" t="s">
        <v>81</v>
      </c>
    </row>
    <row r="36" spans="2:8" ht="20.399999999999999" customHeight="1" thickBot="1" x14ac:dyDescent="0.35">
      <c r="B36" s="5">
        <v>1033</v>
      </c>
      <c r="C36" s="6" t="s">
        <v>82</v>
      </c>
      <c r="D36" s="6" t="s">
        <v>26</v>
      </c>
      <c r="E36" s="6" t="s">
        <v>40</v>
      </c>
      <c r="F36" s="5">
        <v>22</v>
      </c>
      <c r="G36" s="5">
        <v>8</v>
      </c>
      <c r="H36" s="5" t="s">
        <v>83</v>
      </c>
    </row>
    <row r="37" spans="2:8" ht="20.399999999999999" customHeight="1" thickBot="1" x14ac:dyDescent="0.35">
      <c r="B37" s="5">
        <v>1034</v>
      </c>
      <c r="C37" s="6" t="s">
        <v>84</v>
      </c>
      <c r="D37" s="6" t="s">
        <v>29</v>
      </c>
      <c r="E37" s="6" t="s">
        <v>27</v>
      </c>
      <c r="F37" s="5">
        <v>17</v>
      </c>
      <c r="G37" s="5">
        <v>50</v>
      </c>
      <c r="H37" s="5" t="s">
        <v>85</v>
      </c>
    </row>
    <row r="38" spans="2:8" ht="20.399999999999999" customHeight="1" thickBot="1" x14ac:dyDescent="0.35">
      <c r="B38" s="5">
        <v>1035</v>
      </c>
      <c r="C38" s="6" t="s">
        <v>86</v>
      </c>
      <c r="D38" s="6" t="s">
        <v>32</v>
      </c>
      <c r="E38" s="6" t="s">
        <v>30</v>
      </c>
      <c r="F38" s="5">
        <v>19</v>
      </c>
      <c r="G38" s="5">
        <v>10</v>
      </c>
      <c r="H38" s="5" t="s">
        <v>87</v>
      </c>
    </row>
    <row r="39" spans="2:8" ht="20.399999999999999" customHeight="1" thickBot="1" x14ac:dyDescent="0.35">
      <c r="B39" s="5">
        <v>1036</v>
      </c>
      <c r="C39" s="6" t="s">
        <v>88</v>
      </c>
      <c r="D39" s="6" t="s">
        <v>35</v>
      </c>
      <c r="E39" s="6" t="s">
        <v>33</v>
      </c>
      <c r="F39" s="5">
        <v>15</v>
      </c>
      <c r="G39" s="5">
        <v>25</v>
      </c>
      <c r="H39" s="5" t="s">
        <v>89</v>
      </c>
    </row>
    <row r="40" spans="2:8" ht="20.399999999999999" customHeight="1" thickBot="1" x14ac:dyDescent="0.35">
      <c r="B40" s="5">
        <v>1037</v>
      </c>
      <c r="C40" s="6" t="s">
        <v>90</v>
      </c>
      <c r="D40" s="6" t="s">
        <v>26</v>
      </c>
      <c r="E40" s="6" t="s">
        <v>37</v>
      </c>
      <c r="F40" s="5">
        <v>28</v>
      </c>
      <c r="G40" s="5">
        <v>5</v>
      </c>
      <c r="H40" s="5" t="s">
        <v>91</v>
      </c>
    </row>
    <row r="41" spans="2:8" ht="20.399999999999999" customHeight="1" thickBot="1" x14ac:dyDescent="0.35">
      <c r="B41" s="5">
        <v>1038</v>
      </c>
      <c r="C41" s="6" t="s">
        <v>92</v>
      </c>
      <c r="D41" s="6" t="s">
        <v>29</v>
      </c>
      <c r="E41" s="6" t="s">
        <v>40</v>
      </c>
      <c r="F41" s="5">
        <v>24</v>
      </c>
      <c r="G41" s="5">
        <v>8</v>
      </c>
      <c r="H41" s="5" t="s">
        <v>93</v>
      </c>
    </row>
    <row r="42" spans="2:8" ht="20.399999999999999" customHeight="1" thickBot="1" x14ac:dyDescent="0.35">
      <c r="B42" s="5">
        <v>1039</v>
      </c>
      <c r="C42" s="6" t="s">
        <v>94</v>
      </c>
      <c r="D42" s="6" t="s">
        <v>32</v>
      </c>
      <c r="E42" s="6" t="s">
        <v>27</v>
      </c>
      <c r="F42" s="5">
        <v>16</v>
      </c>
      <c r="G42" s="5">
        <v>50</v>
      </c>
      <c r="H42" s="5" t="s">
        <v>95</v>
      </c>
    </row>
    <row r="43" spans="2:8" ht="20.399999999999999" customHeight="1" thickBot="1" x14ac:dyDescent="0.35">
      <c r="B43" s="5">
        <v>1040</v>
      </c>
      <c r="C43" s="6" t="s">
        <v>96</v>
      </c>
      <c r="D43" s="6" t="s">
        <v>35</v>
      </c>
      <c r="E43" s="6" t="s">
        <v>30</v>
      </c>
      <c r="F43" s="5">
        <v>27</v>
      </c>
      <c r="G43" s="5">
        <v>10</v>
      </c>
      <c r="H43" s="5" t="s">
        <v>97</v>
      </c>
    </row>
    <row r="44" spans="2:8" ht="20.399999999999999" customHeight="1" thickBot="1" x14ac:dyDescent="0.35">
      <c r="B44" s="5">
        <v>1041</v>
      </c>
      <c r="C44" s="6" t="s">
        <v>98</v>
      </c>
      <c r="D44" s="6" t="s">
        <v>26</v>
      </c>
      <c r="E44" s="6" t="s">
        <v>33</v>
      </c>
      <c r="F44" s="5">
        <v>21</v>
      </c>
      <c r="G44" s="5">
        <v>25</v>
      </c>
      <c r="H44" s="5" t="s">
        <v>99</v>
      </c>
    </row>
    <row r="45" spans="2:8" ht="20.399999999999999" customHeight="1" thickBot="1" x14ac:dyDescent="0.35">
      <c r="B45" s="5">
        <v>1042</v>
      </c>
      <c r="C45" s="6" t="s">
        <v>100</v>
      </c>
      <c r="D45" s="6" t="s">
        <v>29</v>
      </c>
      <c r="E45" s="6" t="s">
        <v>37</v>
      </c>
      <c r="F45" s="5">
        <v>30</v>
      </c>
      <c r="G45" s="5">
        <v>5</v>
      </c>
      <c r="H45" s="5" t="s">
        <v>101</v>
      </c>
    </row>
    <row r="46" spans="2:8" ht="20.399999999999999" customHeight="1" thickBot="1" x14ac:dyDescent="0.35">
      <c r="B46" s="5">
        <v>1043</v>
      </c>
      <c r="C46" s="6" t="s">
        <v>102</v>
      </c>
      <c r="D46" s="6" t="s">
        <v>32</v>
      </c>
      <c r="E46" s="6" t="s">
        <v>40</v>
      </c>
      <c r="F46" s="5">
        <v>26</v>
      </c>
      <c r="G46" s="5">
        <v>8</v>
      </c>
      <c r="H46" s="7">
        <v>45294</v>
      </c>
    </row>
    <row r="47" spans="2:8" ht="20.399999999999999" customHeight="1" thickBot="1" x14ac:dyDescent="0.35">
      <c r="B47" s="5">
        <v>1044</v>
      </c>
      <c r="C47" s="6" t="s">
        <v>103</v>
      </c>
      <c r="D47" s="6" t="s">
        <v>35</v>
      </c>
      <c r="E47" s="6" t="s">
        <v>27</v>
      </c>
      <c r="F47" s="5">
        <v>14</v>
      </c>
      <c r="G47" s="5">
        <v>50</v>
      </c>
      <c r="H47" s="7">
        <v>45325</v>
      </c>
    </row>
    <row r="48" spans="2:8" ht="20.399999999999999" customHeight="1" thickBot="1" x14ac:dyDescent="0.35">
      <c r="B48" s="5">
        <v>1045</v>
      </c>
      <c r="C48" s="6" t="s">
        <v>104</v>
      </c>
      <c r="D48" s="6" t="s">
        <v>26</v>
      </c>
      <c r="E48" s="6" t="s">
        <v>30</v>
      </c>
      <c r="F48" s="5">
        <v>20</v>
      </c>
      <c r="G48" s="5">
        <v>10</v>
      </c>
      <c r="H48" s="7">
        <v>45354</v>
      </c>
    </row>
    <row r="49" spans="2:8" ht="20.399999999999999" customHeight="1" thickBot="1" x14ac:dyDescent="0.35">
      <c r="B49" s="5">
        <v>1046</v>
      </c>
      <c r="C49" s="6" t="s">
        <v>105</v>
      </c>
      <c r="D49" s="6" t="s">
        <v>29</v>
      </c>
      <c r="E49" s="6" t="s">
        <v>33</v>
      </c>
      <c r="F49" s="5">
        <v>17</v>
      </c>
      <c r="G49" s="5">
        <v>25</v>
      </c>
      <c r="H49" s="7">
        <v>45385</v>
      </c>
    </row>
    <row r="50" spans="2:8" ht="20.399999999999999" customHeight="1" thickBot="1" x14ac:dyDescent="0.35">
      <c r="B50" s="5">
        <v>1047</v>
      </c>
      <c r="C50" s="6" t="s">
        <v>106</v>
      </c>
      <c r="D50" s="6" t="s">
        <v>32</v>
      </c>
      <c r="E50" s="6" t="s">
        <v>37</v>
      </c>
      <c r="F50" s="5">
        <v>19</v>
      </c>
      <c r="G50" s="5">
        <v>5</v>
      </c>
      <c r="H50" s="7">
        <v>45415</v>
      </c>
    </row>
    <row r="51" spans="2:8" ht="20.399999999999999" customHeight="1" thickBot="1" x14ac:dyDescent="0.35">
      <c r="B51" s="5">
        <v>1048</v>
      </c>
      <c r="C51" s="6" t="s">
        <v>107</v>
      </c>
      <c r="D51" s="6" t="s">
        <v>35</v>
      </c>
      <c r="E51" s="6" t="s">
        <v>40</v>
      </c>
      <c r="F51" s="5">
        <v>32</v>
      </c>
      <c r="G51" s="5">
        <v>8</v>
      </c>
      <c r="H51" s="7">
        <v>45446</v>
      </c>
    </row>
    <row r="52" spans="2:8" ht="20.399999999999999" customHeight="1" thickBot="1" x14ac:dyDescent="0.35">
      <c r="B52" s="5">
        <v>1049</v>
      </c>
      <c r="C52" s="6" t="s">
        <v>108</v>
      </c>
      <c r="D52" s="6" t="s">
        <v>26</v>
      </c>
      <c r="E52" s="6" t="s">
        <v>27</v>
      </c>
      <c r="F52" s="5">
        <v>12</v>
      </c>
      <c r="G52" s="5">
        <v>50</v>
      </c>
      <c r="H52" s="7">
        <v>45476</v>
      </c>
    </row>
    <row r="53" spans="2:8" ht="20.399999999999999" customHeight="1" thickBot="1" x14ac:dyDescent="0.35">
      <c r="B53" s="5">
        <v>1050</v>
      </c>
      <c r="C53" s="6" t="s">
        <v>109</v>
      </c>
      <c r="D53" s="6" t="s">
        <v>29</v>
      </c>
      <c r="E53" s="6" t="s">
        <v>30</v>
      </c>
      <c r="F53" s="5">
        <v>25</v>
      </c>
      <c r="G53" s="5">
        <v>10</v>
      </c>
      <c r="H53" s="7">
        <v>45507</v>
      </c>
    </row>
  </sheetData>
  <mergeCells count="2">
    <mergeCell ref="A1:G1"/>
    <mergeCell ref="J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BFC3-3D83-4A92-A259-AFE7874C02BF}">
  <dimension ref="A1:L53"/>
  <sheetViews>
    <sheetView topLeftCell="B1" workbookViewId="0">
      <selection activeCell="I1" sqref="I1"/>
    </sheetView>
  </sheetViews>
  <sheetFormatPr defaultColWidth="15.6640625" defaultRowHeight="24.6" customHeight="1" x14ac:dyDescent="0.3"/>
  <sheetData>
    <row r="1" spans="1:12" ht="24.6" customHeight="1" x14ac:dyDescent="0.3">
      <c r="A1" s="3" t="s">
        <v>112</v>
      </c>
      <c r="B1" s="3"/>
      <c r="C1" s="3"/>
      <c r="D1" s="3"/>
      <c r="E1" s="3"/>
      <c r="F1" s="3"/>
      <c r="H1" s="10" t="s">
        <v>17</v>
      </c>
      <c r="I1">
        <f>SUMPRODUCT(F4:F53,G4:G53)</f>
        <v>16543</v>
      </c>
      <c r="K1" t="s">
        <v>113</v>
      </c>
    </row>
    <row r="2" spans="1:12" ht="24.6" customHeight="1" thickBot="1" x14ac:dyDescent="0.35"/>
    <row r="3" spans="1:12" ht="24.6" customHeight="1" thickBot="1" x14ac:dyDescent="0.35"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J3" s="8"/>
      <c r="K3" s="8"/>
      <c r="L3" s="8"/>
    </row>
    <row r="4" spans="1:12" ht="24.6" customHeight="1" thickBot="1" x14ac:dyDescent="0.35">
      <c r="B4" s="5">
        <v>1001</v>
      </c>
      <c r="C4" s="6" t="s">
        <v>25</v>
      </c>
      <c r="D4" s="6" t="s">
        <v>26</v>
      </c>
      <c r="E4" s="6" t="s">
        <v>27</v>
      </c>
      <c r="F4" s="5">
        <v>10</v>
      </c>
      <c r="G4" s="5">
        <v>50</v>
      </c>
      <c r="H4" s="7">
        <v>45413</v>
      </c>
      <c r="J4" s="6"/>
      <c r="K4" s="5"/>
      <c r="L4" s="5"/>
    </row>
    <row r="5" spans="1:12" ht="24.6" customHeight="1" thickBot="1" x14ac:dyDescent="0.35">
      <c r="B5" s="5">
        <v>1002</v>
      </c>
      <c r="C5" s="6" t="s">
        <v>28</v>
      </c>
      <c r="D5" s="6" t="s">
        <v>29</v>
      </c>
      <c r="E5" s="6" t="s">
        <v>30</v>
      </c>
      <c r="F5" s="5">
        <v>20</v>
      </c>
      <c r="G5" s="5">
        <v>10</v>
      </c>
      <c r="H5" s="7">
        <v>45444</v>
      </c>
      <c r="J5" s="6"/>
      <c r="K5" s="5"/>
      <c r="L5" s="5"/>
    </row>
    <row r="6" spans="1:12" ht="24.6" customHeight="1" thickBot="1" x14ac:dyDescent="0.35">
      <c r="B6" s="5">
        <v>1003</v>
      </c>
      <c r="C6" s="6" t="s">
        <v>31</v>
      </c>
      <c r="D6" s="6" t="s">
        <v>32</v>
      </c>
      <c r="E6" s="6" t="s">
        <v>33</v>
      </c>
      <c r="F6" s="5">
        <v>15</v>
      </c>
      <c r="G6" s="5">
        <v>25</v>
      </c>
      <c r="H6" s="7">
        <v>45474</v>
      </c>
      <c r="J6" s="6"/>
      <c r="K6" s="5"/>
      <c r="L6" s="5"/>
    </row>
    <row r="7" spans="1:12" ht="24.6" customHeight="1" thickBot="1" x14ac:dyDescent="0.35">
      <c r="B7" s="5">
        <v>1004</v>
      </c>
      <c r="C7" s="6" t="s">
        <v>34</v>
      </c>
      <c r="D7" s="6" t="s">
        <v>35</v>
      </c>
      <c r="E7" s="6" t="s">
        <v>27</v>
      </c>
      <c r="F7" s="5">
        <v>5</v>
      </c>
      <c r="G7" s="5">
        <v>50</v>
      </c>
      <c r="H7" s="7">
        <v>45505</v>
      </c>
      <c r="J7" s="6"/>
      <c r="K7" s="5"/>
      <c r="L7" s="5"/>
    </row>
    <row r="8" spans="1:12" ht="24.6" customHeight="1" thickBot="1" x14ac:dyDescent="0.35">
      <c r="B8" s="5">
        <v>1005</v>
      </c>
      <c r="C8" s="6" t="s">
        <v>36</v>
      </c>
      <c r="D8" s="6" t="s">
        <v>26</v>
      </c>
      <c r="E8" s="6" t="s">
        <v>37</v>
      </c>
      <c r="F8" s="5">
        <v>30</v>
      </c>
      <c r="G8" s="5">
        <v>5</v>
      </c>
      <c r="H8" s="7">
        <v>45566</v>
      </c>
      <c r="J8" s="6"/>
      <c r="K8" s="5"/>
      <c r="L8" s="5"/>
    </row>
    <row r="9" spans="1:12" ht="24.6" customHeight="1" thickBot="1" x14ac:dyDescent="0.35">
      <c r="B9" s="5">
        <v>1006</v>
      </c>
      <c r="C9" s="6" t="s">
        <v>38</v>
      </c>
      <c r="D9" s="6" t="s">
        <v>29</v>
      </c>
      <c r="E9" s="6" t="s">
        <v>27</v>
      </c>
      <c r="F9" s="5">
        <v>12</v>
      </c>
      <c r="G9" s="5">
        <v>50</v>
      </c>
      <c r="H9" s="7">
        <v>45597</v>
      </c>
      <c r="J9" s="6"/>
      <c r="K9" s="5"/>
      <c r="L9" s="5"/>
    </row>
    <row r="10" spans="1:12" ht="24.6" customHeight="1" thickBot="1" x14ac:dyDescent="0.35">
      <c r="B10" s="5">
        <v>1007</v>
      </c>
      <c r="C10" s="6" t="s">
        <v>39</v>
      </c>
      <c r="D10" s="6" t="s">
        <v>32</v>
      </c>
      <c r="E10" s="6" t="s">
        <v>40</v>
      </c>
      <c r="F10" s="5">
        <v>25</v>
      </c>
      <c r="G10" s="5">
        <v>8</v>
      </c>
      <c r="H10" s="5" t="s">
        <v>41</v>
      </c>
      <c r="J10" s="6"/>
      <c r="K10" s="5"/>
      <c r="L10" s="5"/>
    </row>
    <row r="11" spans="1:12" ht="24.6" customHeight="1" thickBot="1" x14ac:dyDescent="0.35">
      <c r="B11" s="5">
        <v>1008</v>
      </c>
      <c r="C11" s="6" t="s">
        <v>42</v>
      </c>
      <c r="D11" s="6" t="s">
        <v>35</v>
      </c>
      <c r="E11" s="6" t="s">
        <v>30</v>
      </c>
      <c r="F11" s="5">
        <v>18</v>
      </c>
      <c r="G11" s="5">
        <v>10</v>
      </c>
      <c r="H11" s="5" t="s">
        <v>43</v>
      </c>
      <c r="J11" s="6"/>
      <c r="K11" s="5"/>
      <c r="L11" s="5"/>
    </row>
    <row r="12" spans="1:12" ht="24.6" customHeight="1" thickBot="1" x14ac:dyDescent="0.35">
      <c r="B12" s="5">
        <v>1009</v>
      </c>
      <c r="C12" s="6" t="s">
        <v>44</v>
      </c>
      <c r="D12" s="6" t="s">
        <v>26</v>
      </c>
      <c r="E12" s="6" t="s">
        <v>33</v>
      </c>
      <c r="F12" s="5">
        <v>22</v>
      </c>
      <c r="G12" s="5">
        <v>25</v>
      </c>
      <c r="H12" s="5" t="s">
        <v>45</v>
      </c>
      <c r="J12" s="6"/>
      <c r="K12" s="5"/>
      <c r="L12" s="5"/>
    </row>
    <row r="13" spans="1:12" ht="24.6" customHeight="1" thickBot="1" x14ac:dyDescent="0.35">
      <c r="B13" s="5">
        <v>1010</v>
      </c>
      <c r="C13" s="6" t="s">
        <v>46</v>
      </c>
      <c r="D13" s="6" t="s">
        <v>29</v>
      </c>
      <c r="E13" s="6" t="s">
        <v>27</v>
      </c>
      <c r="F13" s="5">
        <v>8</v>
      </c>
      <c r="G13" s="5">
        <v>50</v>
      </c>
      <c r="H13" s="5" t="s">
        <v>47</v>
      </c>
      <c r="J13" s="6"/>
      <c r="K13" s="5"/>
      <c r="L13" s="5"/>
    </row>
    <row r="14" spans="1:12" ht="24.6" customHeight="1" thickBot="1" x14ac:dyDescent="0.35">
      <c r="B14" s="5">
        <v>1011</v>
      </c>
      <c r="C14" s="6" t="s">
        <v>48</v>
      </c>
      <c r="D14" s="6" t="s">
        <v>32</v>
      </c>
      <c r="E14" s="6" t="s">
        <v>37</v>
      </c>
      <c r="F14" s="5">
        <v>40</v>
      </c>
      <c r="G14" s="5">
        <v>5</v>
      </c>
      <c r="H14" s="5" t="s">
        <v>49</v>
      </c>
      <c r="J14" s="6"/>
      <c r="K14" s="5"/>
      <c r="L14" s="5"/>
    </row>
    <row r="15" spans="1:12" ht="24.6" customHeight="1" thickBot="1" x14ac:dyDescent="0.35">
      <c r="B15" s="5">
        <v>1012</v>
      </c>
      <c r="C15" s="6" t="s">
        <v>50</v>
      </c>
      <c r="D15" s="6" t="s">
        <v>35</v>
      </c>
      <c r="E15" s="6" t="s">
        <v>40</v>
      </c>
      <c r="F15" s="5">
        <v>35</v>
      </c>
      <c r="G15" s="5">
        <v>8</v>
      </c>
      <c r="H15" s="5" t="s">
        <v>51</v>
      </c>
      <c r="J15" s="6"/>
      <c r="K15" s="5"/>
      <c r="L15" s="5"/>
    </row>
    <row r="16" spans="1:12" ht="24.6" customHeight="1" thickBot="1" x14ac:dyDescent="0.35">
      <c r="B16" s="5">
        <v>1013</v>
      </c>
      <c r="C16" s="6" t="s">
        <v>52</v>
      </c>
      <c r="D16" s="6" t="s">
        <v>26</v>
      </c>
      <c r="E16" s="6" t="s">
        <v>27</v>
      </c>
      <c r="F16" s="5">
        <v>14</v>
      </c>
      <c r="G16" s="5">
        <v>50</v>
      </c>
      <c r="H16" s="5" t="s">
        <v>53</v>
      </c>
      <c r="J16" s="6"/>
      <c r="K16" s="5"/>
      <c r="L16" s="5"/>
    </row>
    <row r="17" spans="2:12" ht="24.6" customHeight="1" thickBot="1" x14ac:dyDescent="0.35">
      <c r="B17" s="5">
        <v>1014</v>
      </c>
      <c r="C17" s="6" t="s">
        <v>54</v>
      </c>
      <c r="D17" s="6" t="s">
        <v>29</v>
      </c>
      <c r="E17" s="6" t="s">
        <v>30</v>
      </c>
      <c r="F17" s="5">
        <v>28</v>
      </c>
      <c r="G17" s="5">
        <v>10</v>
      </c>
      <c r="H17" s="5" t="s">
        <v>55</v>
      </c>
      <c r="J17" s="6"/>
      <c r="K17" s="5"/>
      <c r="L17" s="5"/>
    </row>
    <row r="18" spans="2:12" ht="24.6" customHeight="1" thickBot="1" x14ac:dyDescent="0.35">
      <c r="B18" s="5">
        <v>1015</v>
      </c>
      <c r="C18" s="6" t="s">
        <v>56</v>
      </c>
      <c r="D18" s="6" t="s">
        <v>32</v>
      </c>
      <c r="E18" s="6" t="s">
        <v>33</v>
      </c>
      <c r="F18" s="5">
        <v>12</v>
      </c>
      <c r="G18" s="5">
        <v>25</v>
      </c>
      <c r="H18" s="5" t="s">
        <v>57</v>
      </c>
      <c r="J18" s="6"/>
      <c r="K18" s="5"/>
      <c r="L18" s="5"/>
    </row>
    <row r="19" spans="2:12" ht="24.6" customHeight="1" thickBot="1" x14ac:dyDescent="0.35">
      <c r="B19" s="5">
        <v>1016</v>
      </c>
      <c r="C19" s="6" t="s">
        <v>58</v>
      </c>
      <c r="D19" s="6" t="s">
        <v>35</v>
      </c>
      <c r="E19" s="6" t="s">
        <v>37</v>
      </c>
      <c r="F19" s="5">
        <v>25</v>
      </c>
      <c r="G19" s="5">
        <v>5</v>
      </c>
      <c r="H19" s="5" t="s">
        <v>59</v>
      </c>
      <c r="J19" s="6"/>
      <c r="K19" s="5"/>
      <c r="L19" s="5"/>
    </row>
    <row r="20" spans="2:12" ht="24.6" customHeight="1" thickBot="1" x14ac:dyDescent="0.35">
      <c r="B20" s="5">
        <v>1017</v>
      </c>
      <c r="C20" s="6" t="s">
        <v>60</v>
      </c>
      <c r="D20" s="6" t="s">
        <v>26</v>
      </c>
      <c r="E20" s="6" t="s">
        <v>40</v>
      </c>
      <c r="F20" s="5">
        <v>20</v>
      </c>
      <c r="G20" s="5">
        <v>8</v>
      </c>
      <c r="H20" s="5" t="s">
        <v>61</v>
      </c>
      <c r="J20" s="6"/>
      <c r="K20" s="5"/>
      <c r="L20" s="5"/>
    </row>
    <row r="21" spans="2:12" ht="24.6" customHeight="1" thickBot="1" x14ac:dyDescent="0.35">
      <c r="B21" s="5">
        <v>1018</v>
      </c>
      <c r="C21" s="6" t="s">
        <v>62</v>
      </c>
      <c r="D21" s="6" t="s">
        <v>29</v>
      </c>
      <c r="E21" s="6" t="s">
        <v>27</v>
      </c>
      <c r="F21" s="5">
        <v>10</v>
      </c>
      <c r="G21" s="5">
        <v>50</v>
      </c>
      <c r="H21" s="5" t="s">
        <v>63</v>
      </c>
      <c r="J21" s="6"/>
      <c r="K21" s="5"/>
      <c r="L21" s="5"/>
    </row>
    <row r="22" spans="2:12" ht="24.6" customHeight="1" thickBot="1" x14ac:dyDescent="0.35">
      <c r="B22" s="5">
        <v>1019</v>
      </c>
      <c r="C22" s="6" t="s">
        <v>64</v>
      </c>
      <c r="D22" s="6" t="s">
        <v>32</v>
      </c>
      <c r="E22" s="6" t="s">
        <v>30</v>
      </c>
      <c r="F22" s="5">
        <v>15</v>
      </c>
      <c r="G22" s="5">
        <v>10</v>
      </c>
      <c r="H22" s="5" t="s">
        <v>65</v>
      </c>
      <c r="J22" s="6"/>
      <c r="K22" s="5"/>
      <c r="L22" s="5"/>
    </row>
    <row r="23" spans="2:12" ht="24.6" customHeight="1" thickBot="1" x14ac:dyDescent="0.35">
      <c r="B23" s="5">
        <v>1020</v>
      </c>
      <c r="C23" s="6" t="s">
        <v>66</v>
      </c>
      <c r="D23" s="6" t="s">
        <v>35</v>
      </c>
      <c r="E23" s="6" t="s">
        <v>33</v>
      </c>
      <c r="F23" s="5">
        <v>18</v>
      </c>
      <c r="G23" s="5">
        <v>25</v>
      </c>
      <c r="H23" s="7">
        <v>45293</v>
      </c>
      <c r="J23" s="6"/>
      <c r="K23" s="5"/>
      <c r="L23" s="5"/>
    </row>
    <row r="24" spans="2:12" ht="24.6" customHeight="1" thickBot="1" x14ac:dyDescent="0.35">
      <c r="B24" s="5">
        <v>1021</v>
      </c>
      <c r="C24" s="6" t="s">
        <v>67</v>
      </c>
      <c r="D24" s="6" t="s">
        <v>26</v>
      </c>
      <c r="E24" s="6" t="s">
        <v>27</v>
      </c>
      <c r="F24" s="5">
        <v>9</v>
      </c>
      <c r="G24" s="5">
        <v>50</v>
      </c>
      <c r="H24" s="7">
        <v>45324</v>
      </c>
      <c r="J24" s="6"/>
      <c r="K24" s="5"/>
      <c r="L24" s="5"/>
    </row>
    <row r="25" spans="2:12" ht="24.6" customHeight="1" thickBot="1" x14ac:dyDescent="0.35">
      <c r="B25" s="5">
        <v>1022</v>
      </c>
      <c r="C25" s="6" t="s">
        <v>68</v>
      </c>
      <c r="D25" s="6" t="s">
        <v>29</v>
      </c>
      <c r="E25" s="6" t="s">
        <v>37</v>
      </c>
      <c r="F25" s="5">
        <v>35</v>
      </c>
      <c r="G25" s="5">
        <v>5</v>
      </c>
      <c r="H25" s="7">
        <v>45353</v>
      </c>
      <c r="J25" s="6"/>
      <c r="K25" s="5"/>
      <c r="L25" s="5"/>
    </row>
    <row r="26" spans="2:12" ht="24.6" customHeight="1" thickBot="1" x14ac:dyDescent="0.35">
      <c r="B26" s="5">
        <v>1023</v>
      </c>
      <c r="C26" s="6" t="s">
        <v>69</v>
      </c>
      <c r="D26" s="6" t="s">
        <v>32</v>
      </c>
      <c r="E26" s="6" t="s">
        <v>40</v>
      </c>
      <c r="F26" s="5">
        <v>30</v>
      </c>
      <c r="G26" s="5">
        <v>8</v>
      </c>
      <c r="H26" s="7">
        <v>45384</v>
      </c>
      <c r="J26" s="6"/>
      <c r="K26" s="5"/>
      <c r="L26" s="5"/>
    </row>
    <row r="27" spans="2:12" ht="24.6" customHeight="1" thickBot="1" x14ac:dyDescent="0.35">
      <c r="B27" s="5">
        <v>1024</v>
      </c>
      <c r="C27" s="6" t="s">
        <v>70</v>
      </c>
      <c r="D27" s="6" t="s">
        <v>35</v>
      </c>
      <c r="E27" s="6" t="s">
        <v>27</v>
      </c>
      <c r="F27" s="5">
        <v>11</v>
      </c>
      <c r="G27" s="5">
        <v>50</v>
      </c>
      <c r="H27" s="7">
        <v>45445</v>
      </c>
      <c r="J27" s="6"/>
      <c r="K27" s="5"/>
      <c r="L27" s="5"/>
    </row>
    <row r="28" spans="2:12" ht="24.6" customHeight="1" thickBot="1" x14ac:dyDescent="0.35">
      <c r="B28" s="5">
        <v>1025</v>
      </c>
      <c r="C28" s="6" t="s">
        <v>71</v>
      </c>
      <c r="D28" s="6" t="s">
        <v>26</v>
      </c>
      <c r="E28" s="6" t="s">
        <v>30</v>
      </c>
      <c r="F28" s="5">
        <v>14</v>
      </c>
      <c r="G28" s="5">
        <v>10</v>
      </c>
      <c r="H28" s="7">
        <v>45475</v>
      </c>
      <c r="J28" s="6"/>
      <c r="K28" s="5"/>
      <c r="L28" s="5"/>
    </row>
    <row r="29" spans="2:12" ht="24.6" customHeight="1" thickBot="1" x14ac:dyDescent="0.35">
      <c r="B29" s="5">
        <v>1026</v>
      </c>
      <c r="C29" s="6" t="s">
        <v>72</v>
      </c>
      <c r="D29" s="6" t="s">
        <v>29</v>
      </c>
      <c r="E29" s="6" t="s">
        <v>33</v>
      </c>
      <c r="F29" s="5">
        <v>16</v>
      </c>
      <c r="G29" s="5">
        <v>25</v>
      </c>
      <c r="H29" s="7">
        <v>45506</v>
      </c>
      <c r="J29" s="6"/>
      <c r="K29" s="5"/>
      <c r="L29" s="5"/>
    </row>
    <row r="30" spans="2:12" ht="24.6" customHeight="1" thickBot="1" x14ac:dyDescent="0.35">
      <c r="B30" s="5">
        <v>1027</v>
      </c>
      <c r="C30" s="6" t="s">
        <v>73</v>
      </c>
      <c r="D30" s="6" t="s">
        <v>32</v>
      </c>
      <c r="E30" s="6" t="s">
        <v>37</v>
      </c>
      <c r="F30" s="5">
        <v>22</v>
      </c>
      <c r="G30" s="5">
        <v>5</v>
      </c>
      <c r="H30" s="7">
        <v>45537</v>
      </c>
      <c r="J30" s="6"/>
      <c r="K30" s="5"/>
      <c r="L30" s="5"/>
    </row>
    <row r="31" spans="2:12" ht="24.6" customHeight="1" thickBot="1" x14ac:dyDescent="0.35">
      <c r="B31" s="5">
        <v>1028</v>
      </c>
      <c r="C31" s="6" t="s">
        <v>74</v>
      </c>
      <c r="D31" s="6" t="s">
        <v>35</v>
      </c>
      <c r="E31" s="6" t="s">
        <v>40</v>
      </c>
      <c r="F31" s="5">
        <v>27</v>
      </c>
      <c r="G31" s="5">
        <v>8</v>
      </c>
      <c r="H31" s="7">
        <v>45567</v>
      </c>
      <c r="J31" s="6"/>
      <c r="K31" s="5"/>
      <c r="L31" s="5"/>
    </row>
    <row r="32" spans="2:12" ht="24.6" customHeight="1" thickBot="1" x14ac:dyDescent="0.35">
      <c r="B32" s="5">
        <v>1029</v>
      </c>
      <c r="C32" s="6" t="s">
        <v>75</v>
      </c>
      <c r="D32" s="6" t="s">
        <v>26</v>
      </c>
      <c r="E32" s="6" t="s">
        <v>27</v>
      </c>
      <c r="F32" s="5">
        <v>13</v>
      </c>
      <c r="G32" s="5">
        <v>50</v>
      </c>
      <c r="H32" s="7">
        <v>45628</v>
      </c>
      <c r="J32" s="6"/>
      <c r="K32" s="5"/>
      <c r="L32" s="5"/>
    </row>
    <row r="33" spans="2:12" ht="24.6" customHeight="1" thickBot="1" x14ac:dyDescent="0.35">
      <c r="B33" s="5">
        <v>1030</v>
      </c>
      <c r="C33" s="6" t="s">
        <v>76</v>
      </c>
      <c r="D33" s="6" t="s">
        <v>29</v>
      </c>
      <c r="E33" s="6" t="s">
        <v>30</v>
      </c>
      <c r="F33" s="5">
        <v>32</v>
      </c>
      <c r="G33" s="5">
        <v>10</v>
      </c>
      <c r="H33" s="5" t="s">
        <v>77</v>
      </c>
      <c r="J33" s="6"/>
      <c r="K33" s="5"/>
      <c r="L33" s="5"/>
    </row>
    <row r="34" spans="2:12" ht="24.6" customHeight="1" thickBot="1" x14ac:dyDescent="0.35">
      <c r="B34" s="5">
        <v>1031</v>
      </c>
      <c r="C34" s="6" t="s">
        <v>78</v>
      </c>
      <c r="D34" s="6" t="s">
        <v>32</v>
      </c>
      <c r="E34" s="6" t="s">
        <v>33</v>
      </c>
      <c r="F34" s="5">
        <v>10</v>
      </c>
      <c r="G34" s="5">
        <v>25</v>
      </c>
      <c r="H34" s="5" t="s">
        <v>79</v>
      </c>
      <c r="J34" s="6"/>
      <c r="K34" s="5"/>
      <c r="L34" s="5"/>
    </row>
    <row r="35" spans="2:12" ht="24.6" customHeight="1" thickBot="1" x14ac:dyDescent="0.35">
      <c r="B35" s="5">
        <v>1032</v>
      </c>
      <c r="C35" s="6" t="s">
        <v>80</v>
      </c>
      <c r="D35" s="6" t="s">
        <v>35</v>
      </c>
      <c r="E35" s="6" t="s">
        <v>37</v>
      </c>
      <c r="F35" s="5">
        <v>18</v>
      </c>
      <c r="G35" s="5">
        <v>5</v>
      </c>
      <c r="H35" s="5" t="s">
        <v>81</v>
      </c>
      <c r="J35" s="6"/>
      <c r="K35" s="5"/>
      <c r="L35" s="5"/>
    </row>
    <row r="36" spans="2:12" ht="24.6" customHeight="1" thickBot="1" x14ac:dyDescent="0.35">
      <c r="B36" s="5">
        <v>1033</v>
      </c>
      <c r="C36" s="6" t="s">
        <v>82</v>
      </c>
      <c r="D36" s="6" t="s">
        <v>26</v>
      </c>
      <c r="E36" s="6" t="s">
        <v>40</v>
      </c>
      <c r="F36" s="5">
        <v>22</v>
      </c>
      <c r="G36" s="5">
        <v>8</v>
      </c>
      <c r="H36" s="5" t="s">
        <v>83</v>
      </c>
      <c r="J36" s="6"/>
      <c r="K36" s="5"/>
      <c r="L36" s="5"/>
    </row>
    <row r="37" spans="2:12" ht="24.6" customHeight="1" thickBot="1" x14ac:dyDescent="0.35">
      <c r="B37" s="5">
        <v>1034</v>
      </c>
      <c r="C37" s="6" t="s">
        <v>84</v>
      </c>
      <c r="D37" s="6" t="s">
        <v>29</v>
      </c>
      <c r="E37" s="6" t="s">
        <v>27</v>
      </c>
      <c r="F37" s="5">
        <v>17</v>
      </c>
      <c r="G37" s="5">
        <v>50</v>
      </c>
      <c r="H37" s="5" t="s">
        <v>85</v>
      </c>
      <c r="J37" s="6"/>
      <c r="K37" s="5"/>
      <c r="L37" s="5"/>
    </row>
    <row r="38" spans="2:12" ht="24.6" customHeight="1" thickBot="1" x14ac:dyDescent="0.35">
      <c r="B38" s="5">
        <v>1035</v>
      </c>
      <c r="C38" s="6" t="s">
        <v>86</v>
      </c>
      <c r="D38" s="6" t="s">
        <v>32</v>
      </c>
      <c r="E38" s="6" t="s">
        <v>30</v>
      </c>
      <c r="F38" s="5">
        <v>19</v>
      </c>
      <c r="G38" s="5">
        <v>10</v>
      </c>
      <c r="H38" s="5" t="s">
        <v>87</v>
      </c>
      <c r="J38" s="6"/>
      <c r="K38" s="5"/>
      <c r="L38" s="5"/>
    </row>
    <row r="39" spans="2:12" ht="24.6" customHeight="1" thickBot="1" x14ac:dyDescent="0.35">
      <c r="B39" s="5">
        <v>1036</v>
      </c>
      <c r="C39" s="6" t="s">
        <v>88</v>
      </c>
      <c r="D39" s="6" t="s">
        <v>35</v>
      </c>
      <c r="E39" s="6" t="s">
        <v>33</v>
      </c>
      <c r="F39" s="5">
        <v>15</v>
      </c>
      <c r="G39" s="5">
        <v>25</v>
      </c>
      <c r="H39" s="5" t="s">
        <v>89</v>
      </c>
      <c r="J39" s="6"/>
      <c r="K39" s="5"/>
      <c r="L39" s="5"/>
    </row>
    <row r="40" spans="2:12" ht="24.6" customHeight="1" thickBot="1" x14ac:dyDescent="0.35">
      <c r="B40" s="5">
        <v>1037</v>
      </c>
      <c r="C40" s="6" t="s">
        <v>90</v>
      </c>
      <c r="D40" s="6" t="s">
        <v>26</v>
      </c>
      <c r="E40" s="6" t="s">
        <v>37</v>
      </c>
      <c r="F40" s="5">
        <v>28</v>
      </c>
      <c r="G40" s="5">
        <v>5</v>
      </c>
      <c r="H40" s="5" t="s">
        <v>91</v>
      </c>
      <c r="J40" s="6"/>
      <c r="K40" s="5"/>
      <c r="L40" s="5"/>
    </row>
    <row r="41" spans="2:12" ht="24.6" customHeight="1" thickBot="1" x14ac:dyDescent="0.35">
      <c r="B41" s="5">
        <v>1038</v>
      </c>
      <c r="C41" s="6" t="s">
        <v>92</v>
      </c>
      <c r="D41" s="6" t="s">
        <v>29</v>
      </c>
      <c r="E41" s="6" t="s">
        <v>40</v>
      </c>
      <c r="F41" s="5">
        <v>24</v>
      </c>
      <c r="G41" s="5">
        <v>8</v>
      </c>
      <c r="H41" s="5" t="s">
        <v>93</v>
      </c>
      <c r="J41" s="6"/>
      <c r="K41" s="5"/>
      <c r="L41" s="5"/>
    </row>
    <row r="42" spans="2:12" ht="24.6" customHeight="1" thickBot="1" x14ac:dyDescent="0.35">
      <c r="B42" s="5">
        <v>1039</v>
      </c>
      <c r="C42" s="6" t="s">
        <v>94</v>
      </c>
      <c r="D42" s="6" t="s">
        <v>32</v>
      </c>
      <c r="E42" s="6" t="s">
        <v>27</v>
      </c>
      <c r="F42" s="5">
        <v>16</v>
      </c>
      <c r="G42" s="5">
        <v>50</v>
      </c>
      <c r="H42" s="5" t="s">
        <v>95</v>
      </c>
      <c r="J42" s="6"/>
      <c r="K42" s="5"/>
      <c r="L42" s="5"/>
    </row>
    <row r="43" spans="2:12" ht="24.6" customHeight="1" thickBot="1" x14ac:dyDescent="0.35">
      <c r="B43" s="5">
        <v>1040</v>
      </c>
      <c r="C43" s="6" t="s">
        <v>96</v>
      </c>
      <c r="D43" s="6" t="s">
        <v>35</v>
      </c>
      <c r="E43" s="6" t="s">
        <v>30</v>
      </c>
      <c r="F43" s="5">
        <v>27</v>
      </c>
      <c r="G43" s="5">
        <v>10</v>
      </c>
      <c r="H43" s="5" t="s">
        <v>97</v>
      </c>
      <c r="J43" s="6"/>
      <c r="K43" s="5"/>
      <c r="L43" s="5"/>
    </row>
    <row r="44" spans="2:12" ht="24.6" customHeight="1" thickBot="1" x14ac:dyDescent="0.35">
      <c r="B44" s="5">
        <v>1041</v>
      </c>
      <c r="C44" s="6" t="s">
        <v>98</v>
      </c>
      <c r="D44" s="6" t="s">
        <v>26</v>
      </c>
      <c r="E44" s="6" t="s">
        <v>33</v>
      </c>
      <c r="F44" s="5">
        <v>21</v>
      </c>
      <c r="G44" s="5">
        <v>25</v>
      </c>
      <c r="H44" s="5" t="s">
        <v>99</v>
      </c>
      <c r="J44" s="6"/>
      <c r="K44" s="5"/>
      <c r="L44" s="5"/>
    </row>
    <row r="45" spans="2:12" ht="24.6" customHeight="1" thickBot="1" x14ac:dyDescent="0.35">
      <c r="B45" s="5">
        <v>1042</v>
      </c>
      <c r="C45" s="6" t="s">
        <v>100</v>
      </c>
      <c r="D45" s="6" t="s">
        <v>29</v>
      </c>
      <c r="E45" s="6" t="s">
        <v>37</v>
      </c>
      <c r="F45" s="5">
        <v>30</v>
      </c>
      <c r="G45" s="5">
        <v>5</v>
      </c>
      <c r="H45" s="5" t="s">
        <v>101</v>
      </c>
      <c r="J45" s="6"/>
      <c r="K45" s="5"/>
      <c r="L45" s="5"/>
    </row>
    <row r="46" spans="2:12" ht="24.6" customHeight="1" thickBot="1" x14ac:dyDescent="0.35">
      <c r="B46" s="5">
        <v>1043</v>
      </c>
      <c r="C46" s="6" t="s">
        <v>102</v>
      </c>
      <c r="D46" s="6" t="s">
        <v>32</v>
      </c>
      <c r="E46" s="6" t="s">
        <v>40</v>
      </c>
      <c r="F46" s="5">
        <v>26</v>
      </c>
      <c r="G46" s="5">
        <v>8</v>
      </c>
      <c r="H46" s="7">
        <v>45294</v>
      </c>
      <c r="J46" s="6"/>
      <c r="K46" s="5"/>
      <c r="L46" s="5"/>
    </row>
    <row r="47" spans="2:12" ht="24.6" customHeight="1" thickBot="1" x14ac:dyDescent="0.35">
      <c r="B47" s="5">
        <v>1044</v>
      </c>
      <c r="C47" s="6" t="s">
        <v>103</v>
      </c>
      <c r="D47" s="6" t="s">
        <v>35</v>
      </c>
      <c r="E47" s="6" t="s">
        <v>27</v>
      </c>
      <c r="F47" s="5">
        <v>14</v>
      </c>
      <c r="G47" s="5">
        <v>50</v>
      </c>
      <c r="H47" s="7">
        <v>45325</v>
      </c>
      <c r="J47" s="6"/>
      <c r="K47" s="5"/>
      <c r="L47" s="5"/>
    </row>
    <row r="48" spans="2:12" ht="24.6" customHeight="1" thickBot="1" x14ac:dyDescent="0.35">
      <c r="B48" s="5">
        <v>1045</v>
      </c>
      <c r="C48" s="6" t="s">
        <v>104</v>
      </c>
      <c r="D48" s="6" t="s">
        <v>26</v>
      </c>
      <c r="E48" s="6" t="s">
        <v>30</v>
      </c>
      <c r="F48" s="5">
        <v>20</v>
      </c>
      <c r="G48" s="5">
        <v>10</v>
      </c>
      <c r="H48" s="7">
        <v>45354</v>
      </c>
      <c r="J48" s="6"/>
      <c r="K48" s="5"/>
      <c r="L48" s="5"/>
    </row>
    <row r="49" spans="2:12" ht="24.6" customHeight="1" thickBot="1" x14ac:dyDescent="0.35">
      <c r="B49" s="5">
        <v>1046</v>
      </c>
      <c r="C49" s="6" t="s">
        <v>105</v>
      </c>
      <c r="D49" s="6" t="s">
        <v>29</v>
      </c>
      <c r="E49" s="6" t="s">
        <v>33</v>
      </c>
      <c r="F49" s="5">
        <v>17</v>
      </c>
      <c r="G49" s="5">
        <v>25</v>
      </c>
      <c r="H49" s="7">
        <v>45385</v>
      </c>
      <c r="J49" s="6"/>
      <c r="K49" s="5"/>
      <c r="L49" s="5"/>
    </row>
    <row r="50" spans="2:12" ht="24.6" customHeight="1" thickBot="1" x14ac:dyDescent="0.35">
      <c r="B50" s="5">
        <v>1047</v>
      </c>
      <c r="C50" s="6" t="s">
        <v>106</v>
      </c>
      <c r="D50" s="6" t="s">
        <v>32</v>
      </c>
      <c r="E50" s="6" t="s">
        <v>37</v>
      </c>
      <c r="F50" s="5">
        <v>19</v>
      </c>
      <c r="G50" s="5">
        <v>5</v>
      </c>
      <c r="H50" s="7">
        <v>45415</v>
      </c>
      <c r="J50" s="6"/>
      <c r="K50" s="5"/>
      <c r="L50" s="5"/>
    </row>
    <row r="51" spans="2:12" ht="24.6" customHeight="1" thickBot="1" x14ac:dyDescent="0.35">
      <c r="B51" s="5">
        <v>1048</v>
      </c>
      <c r="C51" s="6" t="s">
        <v>107</v>
      </c>
      <c r="D51" s="6" t="s">
        <v>35</v>
      </c>
      <c r="E51" s="6" t="s">
        <v>40</v>
      </c>
      <c r="F51" s="5">
        <v>32</v>
      </c>
      <c r="G51" s="5">
        <v>8</v>
      </c>
      <c r="H51" s="7">
        <v>45446</v>
      </c>
      <c r="J51" s="6"/>
      <c r="K51" s="5"/>
      <c r="L51" s="5"/>
    </row>
    <row r="52" spans="2:12" ht="24.6" customHeight="1" thickBot="1" x14ac:dyDescent="0.35">
      <c r="B52" s="5">
        <v>1049</v>
      </c>
      <c r="C52" s="6" t="s">
        <v>108</v>
      </c>
      <c r="D52" s="6" t="s">
        <v>26</v>
      </c>
      <c r="E52" s="6" t="s">
        <v>27</v>
      </c>
      <c r="F52" s="5">
        <v>12</v>
      </c>
      <c r="G52" s="5">
        <v>50</v>
      </c>
      <c r="H52" s="7">
        <v>45476</v>
      </c>
      <c r="J52" s="6"/>
      <c r="K52" s="5"/>
      <c r="L52" s="5"/>
    </row>
    <row r="53" spans="2:12" ht="24.6" customHeight="1" thickBot="1" x14ac:dyDescent="0.35">
      <c r="B53" s="5">
        <v>1050</v>
      </c>
      <c r="C53" s="6" t="s">
        <v>109</v>
      </c>
      <c r="D53" s="6" t="s">
        <v>29</v>
      </c>
      <c r="E53" s="6" t="s">
        <v>30</v>
      </c>
      <c r="F53" s="5">
        <v>25</v>
      </c>
      <c r="G53" s="5">
        <v>10</v>
      </c>
      <c r="H53" s="7">
        <v>45507</v>
      </c>
      <c r="J53" s="6"/>
      <c r="K53" s="5"/>
      <c r="L53" s="5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14D0-C062-46D7-88CF-A9F25D09F960}">
  <dimension ref="A1:O53"/>
  <sheetViews>
    <sheetView zoomScale="75" workbookViewId="0">
      <selection activeCell="J6" sqref="J6"/>
    </sheetView>
  </sheetViews>
  <sheetFormatPr defaultColWidth="15.33203125" defaultRowHeight="25.2" customHeight="1" x14ac:dyDescent="0.3"/>
  <sheetData>
    <row r="1" spans="1:15" ht="25.2" customHeight="1" x14ac:dyDescent="0.3">
      <c r="A1" s="3" t="s">
        <v>114</v>
      </c>
      <c r="B1" s="3"/>
      <c r="C1" s="3"/>
      <c r="D1" s="3"/>
      <c r="E1" s="3"/>
      <c r="F1" s="3"/>
      <c r="G1" s="3"/>
    </row>
    <row r="2" spans="1:15" ht="25.2" customHeight="1" thickBot="1" x14ac:dyDescent="0.35">
      <c r="H2" t="s">
        <v>121</v>
      </c>
      <c r="O2" s="11"/>
    </row>
    <row r="3" spans="1:15" ht="25.2" customHeight="1" thickBot="1" x14ac:dyDescent="0.35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13" t="s">
        <v>119</v>
      </c>
      <c r="J3" s="12" t="s">
        <v>120</v>
      </c>
    </row>
    <row r="4" spans="1:15" ht="25.2" customHeight="1" thickBot="1" x14ac:dyDescent="0.35">
      <c r="A4" s="5">
        <v>1001</v>
      </c>
      <c r="B4" s="6" t="s">
        <v>25</v>
      </c>
      <c r="C4" s="6" t="s">
        <v>26</v>
      </c>
      <c r="D4" s="6" t="s">
        <v>27</v>
      </c>
      <c r="E4" s="5">
        <v>10</v>
      </c>
      <c r="F4" s="5">
        <v>50</v>
      </c>
      <c r="G4" s="7">
        <v>45413</v>
      </c>
      <c r="H4" s="14">
        <f>$E4*$F4</f>
        <v>500</v>
      </c>
      <c r="I4" s="10" t="s">
        <v>17</v>
      </c>
      <c r="J4">
        <f>SUMIFS(H4:H53,D4:D53,D4,C4:C53,C4)</f>
        <v>2900</v>
      </c>
    </row>
    <row r="5" spans="1:15" ht="25.2" customHeight="1" thickBot="1" x14ac:dyDescent="0.35">
      <c r="A5" s="5">
        <v>1002</v>
      </c>
      <c r="B5" s="6" t="s">
        <v>28</v>
      </c>
      <c r="C5" s="6" t="s">
        <v>29</v>
      </c>
      <c r="D5" s="6" t="s">
        <v>30</v>
      </c>
      <c r="E5" s="5">
        <v>20</v>
      </c>
      <c r="F5" s="5">
        <v>10</v>
      </c>
      <c r="G5" s="7">
        <v>45444</v>
      </c>
      <c r="H5" s="14">
        <f t="shared" ref="H5:I53" si="0">$E5*$F5</f>
        <v>200</v>
      </c>
    </row>
    <row r="6" spans="1:15" ht="25.2" customHeight="1" thickBot="1" x14ac:dyDescent="0.35">
      <c r="A6" s="5">
        <v>1003</v>
      </c>
      <c r="B6" s="6" t="s">
        <v>31</v>
      </c>
      <c r="C6" s="6" t="s">
        <v>32</v>
      </c>
      <c r="D6" s="6" t="s">
        <v>33</v>
      </c>
      <c r="E6" s="5">
        <v>15</v>
      </c>
      <c r="F6" s="5">
        <v>25</v>
      </c>
      <c r="G6" s="7">
        <v>45474</v>
      </c>
      <c r="H6" s="14">
        <f t="shared" si="0"/>
        <v>375</v>
      </c>
    </row>
    <row r="7" spans="1:15" ht="25.2" customHeight="1" thickBot="1" x14ac:dyDescent="0.35">
      <c r="A7" s="5">
        <v>1004</v>
      </c>
      <c r="B7" s="6" t="s">
        <v>34</v>
      </c>
      <c r="C7" s="6" t="s">
        <v>35</v>
      </c>
      <c r="D7" s="6" t="s">
        <v>27</v>
      </c>
      <c r="E7" s="5">
        <v>5</v>
      </c>
      <c r="F7" s="5">
        <v>50</v>
      </c>
      <c r="G7" s="7">
        <v>45505</v>
      </c>
      <c r="H7" s="14">
        <f t="shared" si="0"/>
        <v>250</v>
      </c>
    </row>
    <row r="8" spans="1:15" ht="25.2" customHeight="1" thickBot="1" x14ac:dyDescent="0.35">
      <c r="A8" s="5">
        <v>1005</v>
      </c>
      <c r="B8" s="6" t="s">
        <v>36</v>
      </c>
      <c r="C8" s="6" t="s">
        <v>26</v>
      </c>
      <c r="D8" s="6" t="s">
        <v>37</v>
      </c>
      <c r="E8" s="5">
        <v>30</v>
      </c>
      <c r="F8" s="5">
        <v>5</v>
      </c>
      <c r="G8" s="7">
        <v>45566</v>
      </c>
      <c r="H8" s="14">
        <f t="shared" si="0"/>
        <v>150</v>
      </c>
    </row>
    <row r="9" spans="1:15" ht="25.2" customHeight="1" thickBot="1" x14ac:dyDescent="0.35">
      <c r="A9" s="5">
        <v>1006</v>
      </c>
      <c r="B9" s="6" t="s">
        <v>38</v>
      </c>
      <c r="C9" s="6" t="s">
        <v>29</v>
      </c>
      <c r="D9" s="6" t="s">
        <v>27</v>
      </c>
      <c r="E9" s="5">
        <v>12</v>
      </c>
      <c r="F9" s="5">
        <v>50</v>
      </c>
      <c r="G9" s="7">
        <v>45597</v>
      </c>
      <c r="H9" s="14">
        <f t="shared" si="0"/>
        <v>600</v>
      </c>
    </row>
    <row r="10" spans="1:15" ht="25.2" customHeight="1" thickBot="1" x14ac:dyDescent="0.35">
      <c r="A10" s="5">
        <v>1007</v>
      </c>
      <c r="B10" s="6" t="s">
        <v>39</v>
      </c>
      <c r="C10" s="6" t="s">
        <v>32</v>
      </c>
      <c r="D10" s="6" t="s">
        <v>40</v>
      </c>
      <c r="E10" s="5">
        <v>25</v>
      </c>
      <c r="F10" s="5">
        <v>8</v>
      </c>
      <c r="G10" s="5" t="s">
        <v>41</v>
      </c>
      <c r="H10" s="14">
        <f t="shared" si="0"/>
        <v>200</v>
      </c>
    </row>
    <row r="11" spans="1:15" ht="25.2" customHeight="1" thickBot="1" x14ac:dyDescent="0.35">
      <c r="A11" s="5">
        <v>1008</v>
      </c>
      <c r="B11" s="6" t="s">
        <v>42</v>
      </c>
      <c r="C11" s="6" t="s">
        <v>35</v>
      </c>
      <c r="D11" s="6" t="s">
        <v>30</v>
      </c>
      <c r="E11" s="5">
        <v>18</v>
      </c>
      <c r="F11" s="5">
        <v>10</v>
      </c>
      <c r="G11" s="5" t="s">
        <v>43</v>
      </c>
      <c r="H11" s="14">
        <f t="shared" si="0"/>
        <v>180</v>
      </c>
    </row>
    <row r="12" spans="1:15" ht="25.2" customHeight="1" thickBot="1" x14ac:dyDescent="0.35">
      <c r="A12" s="5">
        <v>1009</v>
      </c>
      <c r="B12" s="6" t="s">
        <v>44</v>
      </c>
      <c r="C12" s="6" t="s">
        <v>26</v>
      </c>
      <c r="D12" s="6" t="s">
        <v>33</v>
      </c>
      <c r="E12" s="5">
        <v>22</v>
      </c>
      <c r="F12" s="5">
        <v>25</v>
      </c>
      <c r="G12" s="5" t="s">
        <v>45</v>
      </c>
      <c r="H12" s="14">
        <f t="shared" si="0"/>
        <v>550</v>
      </c>
    </row>
    <row r="13" spans="1:15" ht="25.2" customHeight="1" thickBot="1" x14ac:dyDescent="0.35">
      <c r="A13" s="5">
        <v>1010</v>
      </c>
      <c r="B13" s="6" t="s">
        <v>46</v>
      </c>
      <c r="C13" s="6" t="s">
        <v>29</v>
      </c>
      <c r="D13" s="6" t="s">
        <v>27</v>
      </c>
      <c r="E13" s="5">
        <v>8</v>
      </c>
      <c r="F13" s="5">
        <v>50</v>
      </c>
      <c r="G13" s="5" t="s">
        <v>47</v>
      </c>
      <c r="H13" s="14">
        <f t="shared" si="0"/>
        <v>400</v>
      </c>
    </row>
    <row r="14" spans="1:15" ht="25.2" customHeight="1" thickBot="1" x14ac:dyDescent="0.35">
      <c r="A14" s="5">
        <v>1011</v>
      </c>
      <c r="B14" s="6" t="s">
        <v>48</v>
      </c>
      <c r="C14" s="6" t="s">
        <v>32</v>
      </c>
      <c r="D14" s="6" t="s">
        <v>37</v>
      </c>
      <c r="E14" s="5">
        <v>40</v>
      </c>
      <c r="F14" s="5">
        <v>5</v>
      </c>
      <c r="G14" s="5" t="s">
        <v>49</v>
      </c>
      <c r="H14" s="14">
        <f t="shared" si="0"/>
        <v>200</v>
      </c>
    </row>
    <row r="15" spans="1:15" ht="25.2" customHeight="1" thickBot="1" x14ac:dyDescent="0.35">
      <c r="A15" s="5">
        <v>1012</v>
      </c>
      <c r="B15" s="6" t="s">
        <v>50</v>
      </c>
      <c r="C15" s="6" t="s">
        <v>35</v>
      </c>
      <c r="D15" s="6" t="s">
        <v>40</v>
      </c>
      <c r="E15" s="5">
        <v>35</v>
      </c>
      <c r="F15" s="5">
        <v>8</v>
      </c>
      <c r="G15" s="5" t="s">
        <v>51</v>
      </c>
      <c r="H15" s="14">
        <f t="shared" si="0"/>
        <v>280</v>
      </c>
    </row>
    <row r="16" spans="1:15" ht="25.2" customHeight="1" thickBot="1" x14ac:dyDescent="0.35">
      <c r="A16" s="5">
        <v>1013</v>
      </c>
      <c r="B16" s="6" t="s">
        <v>52</v>
      </c>
      <c r="C16" s="6" t="s">
        <v>26</v>
      </c>
      <c r="D16" s="6" t="s">
        <v>27</v>
      </c>
      <c r="E16" s="5">
        <v>14</v>
      </c>
      <c r="F16" s="5">
        <v>50</v>
      </c>
      <c r="G16" s="5" t="s">
        <v>53</v>
      </c>
      <c r="H16" s="14">
        <f t="shared" si="0"/>
        <v>700</v>
      </c>
    </row>
    <row r="17" spans="1:8" ht="25.2" customHeight="1" thickBot="1" x14ac:dyDescent="0.35">
      <c r="A17" s="5">
        <v>1014</v>
      </c>
      <c r="B17" s="6" t="s">
        <v>54</v>
      </c>
      <c r="C17" s="6" t="s">
        <v>29</v>
      </c>
      <c r="D17" s="6" t="s">
        <v>30</v>
      </c>
      <c r="E17" s="5">
        <v>28</v>
      </c>
      <c r="F17" s="5">
        <v>10</v>
      </c>
      <c r="G17" s="5" t="s">
        <v>55</v>
      </c>
      <c r="H17" s="14">
        <f t="shared" si="0"/>
        <v>280</v>
      </c>
    </row>
    <row r="18" spans="1:8" ht="25.2" customHeight="1" thickBot="1" x14ac:dyDescent="0.35">
      <c r="A18" s="5">
        <v>1015</v>
      </c>
      <c r="B18" s="6" t="s">
        <v>56</v>
      </c>
      <c r="C18" s="6" t="s">
        <v>32</v>
      </c>
      <c r="D18" s="6" t="s">
        <v>33</v>
      </c>
      <c r="E18" s="5">
        <v>12</v>
      </c>
      <c r="F18" s="5">
        <v>25</v>
      </c>
      <c r="G18" s="5" t="s">
        <v>57</v>
      </c>
      <c r="H18" s="14">
        <f t="shared" si="0"/>
        <v>300</v>
      </c>
    </row>
    <row r="19" spans="1:8" ht="25.2" customHeight="1" thickBot="1" x14ac:dyDescent="0.35">
      <c r="A19" s="5">
        <v>1016</v>
      </c>
      <c r="B19" s="6" t="s">
        <v>58</v>
      </c>
      <c r="C19" s="6" t="s">
        <v>35</v>
      </c>
      <c r="D19" s="6" t="s">
        <v>37</v>
      </c>
      <c r="E19" s="5">
        <v>25</v>
      </c>
      <c r="F19" s="5">
        <v>5</v>
      </c>
      <c r="G19" s="5" t="s">
        <v>59</v>
      </c>
      <c r="H19" s="14">
        <f t="shared" si="0"/>
        <v>125</v>
      </c>
    </row>
    <row r="20" spans="1:8" ht="25.2" customHeight="1" thickBot="1" x14ac:dyDescent="0.35">
      <c r="A20" s="5">
        <v>1017</v>
      </c>
      <c r="B20" s="6" t="s">
        <v>60</v>
      </c>
      <c r="C20" s="6" t="s">
        <v>26</v>
      </c>
      <c r="D20" s="6" t="s">
        <v>40</v>
      </c>
      <c r="E20" s="5">
        <v>20</v>
      </c>
      <c r="F20" s="5">
        <v>8</v>
      </c>
      <c r="G20" s="5" t="s">
        <v>61</v>
      </c>
      <c r="H20" s="14">
        <f t="shared" si="0"/>
        <v>160</v>
      </c>
    </row>
    <row r="21" spans="1:8" ht="25.2" customHeight="1" thickBot="1" x14ac:dyDescent="0.35">
      <c r="A21" s="5">
        <v>1018</v>
      </c>
      <c r="B21" s="6" t="s">
        <v>62</v>
      </c>
      <c r="C21" s="6" t="s">
        <v>29</v>
      </c>
      <c r="D21" s="6" t="s">
        <v>27</v>
      </c>
      <c r="E21" s="5">
        <v>10</v>
      </c>
      <c r="F21" s="5">
        <v>50</v>
      </c>
      <c r="G21" s="5" t="s">
        <v>63</v>
      </c>
      <c r="H21" s="14">
        <f t="shared" si="0"/>
        <v>500</v>
      </c>
    </row>
    <row r="22" spans="1:8" ht="25.2" customHeight="1" thickBot="1" x14ac:dyDescent="0.35">
      <c r="A22" s="5">
        <v>1019</v>
      </c>
      <c r="B22" s="6" t="s">
        <v>64</v>
      </c>
      <c r="C22" s="6" t="s">
        <v>32</v>
      </c>
      <c r="D22" s="6" t="s">
        <v>30</v>
      </c>
      <c r="E22" s="5">
        <v>15</v>
      </c>
      <c r="F22" s="5">
        <v>10</v>
      </c>
      <c r="G22" s="5" t="s">
        <v>65</v>
      </c>
      <c r="H22" s="14">
        <f t="shared" si="0"/>
        <v>150</v>
      </c>
    </row>
    <row r="23" spans="1:8" ht="25.2" customHeight="1" thickBot="1" x14ac:dyDescent="0.35">
      <c r="A23" s="5">
        <v>1020</v>
      </c>
      <c r="B23" s="6" t="s">
        <v>66</v>
      </c>
      <c r="C23" s="6" t="s">
        <v>35</v>
      </c>
      <c r="D23" s="6" t="s">
        <v>33</v>
      </c>
      <c r="E23" s="5">
        <v>18</v>
      </c>
      <c r="F23" s="5">
        <v>25</v>
      </c>
      <c r="G23" s="7">
        <v>45293</v>
      </c>
      <c r="H23" s="14">
        <f t="shared" si="0"/>
        <v>450</v>
      </c>
    </row>
    <row r="24" spans="1:8" ht="25.2" customHeight="1" thickBot="1" x14ac:dyDescent="0.35">
      <c r="A24" s="5">
        <v>1021</v>
      </c>
      <c r="B24" s="6" t="s">
        <v>67</v>
      </c>
      <c r="C24" s="6" t="s">
        <v>26</v>
      </c>
      <c r="D24" s="6" t="s">
        <v>27</v>
      </c>
      <c r="E24" s="5">
        <v>9</v>
      </c>
      <c r="F24" s="5">
        <v>50</v>
      </c>
      <c r="G24" s="7">
        <v>45324</v>
      </c>
      <c r="H24" s="14">
        <f t="shared" si="0"/>
        <v>450</v>
      </c>
    </row>
    <row r="25" spans="1:8" ht="25.2" customHeight="1" thickBot="1" x14ac:dyDescent="0.35">
      <c r="A25" s="5">
        <v>1022</v>
      </c>
      <c r="B25" s="6" t="s">
        <v>68</v>
      </c>
      <c r="C25" s="6" t="s">
        <v>29</v>
      </c>
      <c r="D25" s="6" t="s">
        <v>37</v>
      </c>
      <c r="E25" s="5">
        <v>35</v>
      </c>
      <c r="F25" s="5">
        <v>5</v>
      </c>
      <c r="G25" s="7">
        <v>45353</v>
      </c>
      <c r="H25" s="14">
        <f t="shared" si="0"/>
        <v>175</v>
      </c>
    </row>
    <row r="26" spans="1:8" ht="25.2" customHeight="1" thickBot="1" x14ac:dyDescent="0.35">
      <c r="A26" s="5">
        <v>1023</v>
      </c>
      <c r="B26" s="6" t="s">
        <v>69</v>
      </c>
      <c r="C26" s="6" t="s">
        <v>32</v>
      </c>
      <c r="D26" s="6" t="s">
        <v>40</v>
      </c>
      <c r="E26" s="5">
        <v>30</v>
      </c>
      <c r="F26" s="5">
        <v>8</v>
      </c>
      <c r="G26" s="7">
        <v>45384</v>
      </c>
      <c r="H26" s="14">
        <f t="shared" si="0"/>
        <v>240</v>
      </c>
    </row>
    <row r="27" spans="1:8" ht="25.2" customHeight="1" thickBot="1" x14ac:dyDescent="0.35">
      <c r="A27" s="5">
        <v>1024</v>
      </c>
      <c r="B27" s="6" t="s">
        <v>70</v>
      </c>
      <c r="C27" s="6" t="s">
        <v>35</v>
      </c>
      <c r="D27" s="6" t="s">
        <v>27</v>
      </c>
      <c r="E27" s="5">
        <v>11</v>
      </c>
      <c r="F27" s="5">
        <v>50</v>
      </c>
      <c r="G27" s="7">
        <v>45445</v>
      </c>
      <c r="H27" s="14">
        <f t="shared" si="0"/>
        <v>550</v>
      </c>
    </row>
    <row r="28" spans="1:8" ht="25.2" customHeight="1" thickBot="1" x14ac:dyDescent="0.35">
      <c r="A28" s="5">
        <v>1025</v>
      </c>
      <c r="B28" s="6" t="s">
        <v>71</v>
      </c>
      <c r="C28" s="6" t="s">
        <v>26</v>
      </c>
      <c r="D28" s="6" t="s">
        <v>30</v>
      </c>
      <c r="E28" s="5">
        <v>14</v>
      </c>
      <c r="F28" s="5">
        <v>10</v>
      </c>
      <c r="G28" s="7">
        <v>45475</v>
      </c>
      <c r="H28" s="14">
        <f t="shared" si="0"/>
        <v>140</v>
      </c>
    </row>
    <row r="29" spans="1:8" ht="25.2" customHeight="1" thickBot="1" x14ac:dyDescent="0.35">
      <c r="A29" s="5">
        <v>1026</v>
      </c>
      <c r="B29" s="6" t="s">
        <v>72</v>
      </c>
      <c r="C29" s="6" t="s">
        <v>29</v>
      </c>
      <c r="D29" s="6" t="s">
        <v>33</v>
      </c>
      <c r="E29" s="5">
        <v>16</v>
      </c>
      <c r="F29" s="5">
        <v>25</v>
      </c>
      <c r="G29" s="7">
        <v>45506</v>
      </c>
      <c r="H29" s="14">
        <f t="shared" si="0"/>
        <v>400</v>
      </c>
    </row>
    <row r="30" spans="1:8" ht="25.2" customHeight="1" thickBot="1" x14ac:dyDescent="0.35">
      <c r="A30" s="5">
        <v>1027</v>
      </c>
      <c r="B30" s="6" t="s">
        <v>73</v>
      </c>
      <c r="C30" s="6" t="s">
        <v>32</v>
      </c>
      <c r="D30" s="6" t="s">
        <v>37</v>
      </c>
      <c r="E30" s="5">
        <v>22</v>
      </c>
      <c r="F30" s="5">
        <v>5</v>
      </c>
      <c r="G30" s="7">
        <v>45537</v>
      </c>
      <c r="H30" s="14">
        <f t="shared" si="0"/>
        <v>110</v>
      </c>
    </row>
    <row r="31" spans="1:8" ht="25.2" customHeight="1" thickBot="1" x14ac:dyDescent="0.35">
      <c r="A31" s="5">
        <v>1028</v>
      </c>
      <c r="B31" s="6" t="s">
        <v>74</v>
      </c>
      <c r="C31" s="6" t="s">
        <v>35</v>
      </c>
      <c r="D31" s="6" t="s">
        <v>40</v>
      </c>
      <c r="E31" s="5">
        <v>27</v>
      </c>
      <c r="F31" s="5">
        <v>8</v>
      </c>
      <c r="G31" s="7">
        <v>45567</v>
      </c>
      <c r="H31" s="14">
        <f t="shared" si="0"/>
        <v>216</v>
      </c>
    </row>
    <row r="32" spans="1:8" ht="25.2" customHeight="1" thickBot="1" x14ac:dyDescent="0.35">
      <c r="A32" s="5">
        <v>1029</v>
      </c>
      <c r="B32" s="6" t="s">
        <v>75</v>
      </c>
      <c r="C32" s="6" t="s">
        <v>26</v>
      </c>
      <c r="D32" s="6" t="s">
        <v>27</v>
      </c>
      <c r="E32" s="5">
        <v>13</v>
      </c>
      <c r="F32" s="5">
        <v>50</v>
      </c>
      <c r="G32" s="7">
        <v>45628</v>
      </c>
      <c r="H32" s="14">
        <f t="shared" si="0"/>
        <v>650</v>
      </c>
    </row>
    <row r="33" spans="1:8" ht="25.2" customHeight="1" thickBot="1" x14ac:dyDescent="0.35">
      <c r="A33" s="5">
        <v>1030</v>
      </c>
      <c r="B33" s="6" t="s">
        <v>76</v>
      </c>
      <c r="C33" s="6" t="s">
        <v>29</v>
      </c>
      <c r="D33" s="6" t="s">
        <v>30</v>
      </c>
      <c r="E33" s="5">
        <v>32</v>
      </c>
      <c r="F33" s="5">
        <v>10</v>
      </c>
      <c r="G33" s="5" t="s">
        <v>77</v>
      </c>
      <c r="H33" s="14">
        <f t="shared" si="0"/>
        <v>320</v>
      </c>
    </row>
    <row r="34" spans="1:8" ht="25.2" customHeight="1" thickBot="1" x14ac:dyDescent="0.35">
      <c r="A34" s="5">
        <v>1031</v>
      </c>
      <c r="B34" s="6" t="s">
        <v>78</v>
      </c>
      <c r="C34" s="6" t="s">
        <v>32</v>
      </c>
      <c r="D34" s="6" t="s">
        <v>33</v>
      </c>
      <c r="E34" s="5">
        <v>10</v>
      </c>
      <c r="F34" s="5">
        <v>25</v>
      </c>
      <c r="G34" s="5" t="s">
        <v>79</v>
      </c>
      <c r="H34" s="14">
        <f t="shared" si="0"/>
        <v>250</v>
      </c>
    </row>
    <row r="35" spans="1:8" ht="25.2" customHeight="1" thickBot="1" x14ac:dyDescent="0.35">
      <c r="A35" s="5">
        <v>1032</v>
      </c>
      <c r="B35" s="6" t="s">
        <v>80</v>
      </c>
      <c r="C35" s="6" t="s">
        <v>35</v>
      </c>
      <c r="D35" s="6" t="s">
        <v>37</v>
      </c>
      <c r="E35" s="5">
        <v>18</v>
      </c>
      <c r="F35" s="5">
        <v>5</v>
      </c>
      <c r="G35" s="5" t="s">
        <v>81</v>
      </c>
      <c r="H35" s="14">
        <f t="shared" si="0"/>
        <v>90</v>
      </c>
    </row>
    <row r="36" spans="1:8" ht="25.2" customHeight="1" thickBot="1" x14ac:dyDescent="0.35">
      <c r="A36" s="5">
        <v>1033</v>
      </c>
      <c r="B36" s="6" t="s">
        <v>82</v>
      </c>
      <c r="C36" s="6" t="s">
        <v>26</v>
      </c>
      <c r="D36" s="6" t="s">
        <v>40</v>
      </c>
      <c r="E36" s="5">
        <v>22</v>
      </c>
      <c r="F36" s="5">
        <v>8</v>
      </c>
      <c r="G36" s="5" t="s">
        <v>83</v>
      </c>
      <c r="H36" s="14">
        <f t="shared" si="0"/>
        <v>176</v>
      </c>
    </row>
    <row r="37" spans="1:8" ht="25.2" customHeight="1" thickBot="1" x14ac:dyDescent="0.35">
      <c r="A37" s="5">
        <v>1034</v>
      </c>
      <c r="B37" s="6" t="s">
        <v>84</v>
      </c>
      <c r="C37" s="6" t="s">
        <v>29</v>
      </c>
      <c r="D37" s="6" t="s">
        <v>27</v>
      </c>
      <c r="E37" s="5">
        <v>17</v>
      </c>
      <c r="F37" s="5">
        <v>50</v>
      </c>
      <c r="G37" s="5" t="s">
        <v>85</v>
      </c>
      <c r="H37" s="14">
        <f t="shared" si="0"/>
        <v>850</v>
      </c>
    </row>
    <row r="38" spans="1:8" ht="25.2" customHeight="1" thickBot="1" x14ac:dyDescent="0.35">
      <c r="A38" s="5">
        <v>1035</v>
      </c>
      <c r="B38" s="6" t="s">
        <v>86</v>
      </c>
      <c r="C38" s="6" t="s">
        <v>32</v>
      </c>
      <c r="D38" s="6" t="s">
        <v>30</v>
      </c>
      <c r="E38" s="5">
        <v>19</v>
      </c>
      <c r="F38" s="5">
        <v>10</v>
      </c>
      <c r="G38" s="5" t="s">
        <v>87</v>
      </c>
      <c r="H38" s="14">
        <f t="shared" si="0"/>
        <v>190</v>
      </c>
    </row>
    <row r="39" spans="1:8" ht="25.2" customHeight="1" thickBot="1" x14ac:dyDescent="0.35">
      <c r="A39" s="5">
        <v>1036</v>
      </c>
      <c r="B39" s="6" t="s">
        <v>88</v>
      </c>
      <c r="C39" s="6" t="s">
        <v>35</v>
      </c>
      <c r="D39" s="6" t="s">
        <v>33</v>
      </c>
      <c r="E39" s="5">
        <v>15</v>
      </c>
      <c r="F39" s="5">
        <v>25</v>
      </c>
      <c r="G39" s="5" t="s">
        <v>89</v>
      </c>
      <c r="H39" s="14">
        <f t="shared" si="0"/>
        <v>375</v>
      </c>
    </row>
    <row r="40" spans="1:8" ht="25.2" customHeight="1" thickBot="1" x14ac:dyDescent="0.35">
      <c r="A40" s="5">
        <v>1037</v>
      </c>
      <c r="B40" s="6" t="s">
        <v>90</v>
      </c>
      <c r="C40" s="6" t="s">
        <v>26</v>
      </c>
      <c r="D40" s="6" t="s">
        <v>37</v>
      </c>
      <c r="E40" s="5">
        <v>28</v>
      </c>
      <c r="F40" s="5">
        <v>5</v>
      </c>
      <c r="G40" s="5" t="s">
        <v>91</v>
      </c>
      <c r="H40" s="14">
        <f t="shared" si="0"/>
        <v>140</v>
      </c>
    </row>
    <row r="41" spans="1:8" ht="25.2" customHeight="1" thickBot="1" x14ac:dyDescent="0.35">
      <c r="A41" s="5">
        <v>1038</v>
      </c>
      <c r="B41" s="6" t="s">
        <v>92</v>
      </c>
      <c r="C41" s="6" t="s">
        <v>29</v>
      </c>
      <c r="D41" s="6" t="s">
        <v>40</v>
      </c>
      <c r="E41" s="5">
        <v>24</v>
      </c>
      <c r="F41" s="5">
        <v>8</v>
      </c>
      <c r="G41" s="5" t="s">
        <v>93</v>
      </c>
      <c r="H41" s="14">
        <f t="shared" si="0"/>
        <v>192</v>
      </c>
    </row>
    <row r="42" spans="1:8" ht="25.2" customHeight="1" thickBot="1" x14ac:dyDescent="0.35">
      <c r="A42" s="5">
        <v>1039</v>
      </c>
      <c r="B42" s="6" t="s">
        <v>94</v>
      </c>
      <c r="C42" s="6" t="s">
        <v>32</v>
      </c>
      <c r="D42" s="6" t="s">
        <v>27</v>
      </c>
      <c r="E42" s="5">
        <v>16</v>
      </c>
      <c r="F42" s="5">
        <v>50</v>
      </c>
      <c r="G42" s="5" t="s">
        <v>95</v>
      </c>
      <c r="H42" s="14">
        <f t="shared" si="0"/>
        <v>800</v>
      </c>
    </row>
    <row r="43" spans="1:8" ht="25.2" customHeight="1" thickBot="1" x14ac:dyDescent="0.35">
      <c r="A43" s="5">
        <v>1040</v>
      </c>
      <c r="B43" s="6" t="s">
        <v>96</v>
      </c>
      <c r="C43" s="6" t="s">
        <v>35</v>
      </c>
      <c r="D43" s="6" t="s">
        <v>30</v>
      </c>
      <c r="E43" s="5">
        <v>27</v>
      </c>
      <c r="F43" s="5">
        <v>10</v>
      </c>
      <c r="G43" s="5" t="s">
        <v>97</v>
      </c>
      <c r="H43" s="14">
        <f t="shared" si="0"/>
        <v>270</v>
      </c>
    </row>
    <row r="44" spans="1:8" ht="25.2" customHeight="1" thickBot="1" x14ac:dyDescent="0.35">
      <c r="A44" s="5">
        <v>1041</v>
      </c>
      <c r="B44" s="6" t="s">
        <v>98</v>
      </c>
      <c r="C44" s="6" t="s">
        <v>26</v>
      </c>
      <c r="D44" s="6" t="s">
        <v>33</v>
      </c>
      <c r="E44" s="5">
        <v>21</v>
      </c>
      <c r="F44" s="5">
        <v>25</v>
      </c>
      <c r="G44" s="5" t="s">
        <v>99</v>
      </c>
      <c r="H44" s="14">
        <f t="shared" si="0"/>
        <v>525</v>
      </c>
    </row>
    <row r="45" spans="1:8" ht="25.2" customHeight="1" thickBot="1" x14ac:dyDescent="0.35">
      <c r="A45" s="5">
        <v>1042</v>
      </c>
      <c r="B45" s="6" t="s">
        <v>100</v>
      </c>
      <c r="C45" s="6" t="s">
        <v>29</v>
      </c>
      <c r="D45" s="6" t="s">
        <v>37</v>
      </c>
      <c r="E45" s="5">
        <v>30</v>
      </c>
      <c r="F45" s="5">
        <v>5</v>
      </c>
      <c r="G45" s="5" t="s">
        <v>101</v>
      </c>
      <c r="H45" s="14">
        <f t="shared" si="0"/>
        <v>150</v>
      </c>
    </row>
    <row r="46" spans="1:8" ht="25.2" customHeight="1" thickBot="1" x14ac:dyDescent="0.35">
      <c r="A46" s="5">
        <v>1043</v>
      </c>
      <c r="B46" s="6" t="s">
        <v>102</v>
      </c>
      <c r="C46" s="6" t="s">
        <v>32</v>
      </c>
      <c r="D46" s="6" t="s">
        <v>40</v>
      </c>
      <c r="E46" s="5">
        <v>26</v>
      </c>
      <c r="F46" s="5">
        <v>8</v>
      </c>
      <c r="G46" s="7">
        <v>45294</v>
      </c>
      <c r="H46" s="14">
        <f t="shared" si="0"/>
        <v>208</v>
      </c>
    </row>
    <row r="47" spans="1:8" ht="25.2" customHeight="1" thickBot="1" x14ac:dyDescent="0.35">
      <c r="A47" s="5">
        <v>1044</v>
      </c>
      <c r="B47" s="6" t="s">
        <v>103</v>
      </c>
      <c r="C47" s="6" t="s">
        <v>35</v>
      </c>
      <c r="D47" s="6" t="s">
        <v>27</v>
      </c>
      <c r="E47" s="5">
        <v>14</v>
      </c>
      <c r="F47" s="5">
        <v>50</v>
      </c>
      <c r="G47" s="7">
        <v>45325</v>
      </c>
      <c r="H47" s="14">
        <f t="shared" si="0"/>
        <v>700</v>
      </c>
    </row>
    <row r="48" spans="1:8" ht="25.2" customHeight="1" thickBot="1" x14ac:dyDescent="0.35">
      <c r="A48" s="5">
        <v>1045</v>
      </c>
      <c r="B48" s="6" t="s">
        <v>104</v>
      </c>
      <c r="C48" s="6" t="s">
        <v>26</v>
      </c>
      <c r="D48" s="6" t="s">
        <v>30</v>
      </c>
      <c r="E48" s="5">
        <v>20</v>
      </c>
      <c r="F48" s="5">
        <v>10</v>
      </c>
      <c r="G48" s="7">
        <v>45354</v>
      </c>
      <c r="H48" s="14">
        <f t="shared" si="0"/>
        <v>200</v>
      </c>
    </row>
    <row r="49" spans="1:8" ht="25.2" customHeight="1" thickBot="1" x14ac:dyDescent="0.35">
      <c r="A49" s="5">
        <v>1046</v>
      </c>
      <c r="B49" s="6" t="s">
        <v>105</v>
      </c>
      <c r="C49" s="6" t="s">
        <v>29</v>
      </c>
      <c r="D49" s="6" t="s">
        <v>33</v>
      </c>
      <c r="E49" s="5">
        <v>17</v>
      </c>
      <c r="F49" s="5">
        <v>25</v>
      </c>
      <c r="G49" s="7">
        <v>45385</v>
      </c>
      <c r="H49" s="14">
        <f t="shared" si="0"/>
        <v>425</v>
      </c>
    </row>
    <row r="50" spans="1:8" ht="25.2" customHeight="1" thickBot="1" x14ac:dyDescent="0.35">
      <c r="A50" s="5">
        <v>1047</v>
      </c>
      <c r="B50" s="6" t="s">
        <v>106</v>
      </c>
      <c r="C50" s="6" t="s">
        <v>32</v>
      </c>
      <c r="D50" s="6" t="s">
        <v>37</v>
      </c>
      <c r="E50" s="5">
        <v>19</v>
      </c>
      <c r="F50" s="5">
        <v>5</v>
      </c>
      <c r="G50" s="7">
        <v>45415</v>
      </c>
      <c r="H50" s="14">
        <f t="shared" si="0"/>
        <v>95</v>
      </c>
    </row>
    <row r="51" spans="1:8" ht="25.2" customHeight="1" thickBot="1" x14ac:dyDescent="0.35">
      <c r="A51" s="5">
        <v>1048</v>
      </c>
      <c r="B51" s="6" t="s">
        <v>107</v>
      </c>
      <c r="C51" s="6" t="s">
        <v>35</v>
      </c>
      <c r="D51" s="6" t="s">
        <v>40</v>
      </c>
      <c r="E51" s="5">
        <v>32</v>
      </c>
      <c r="F51" s="5">
        <v>8</v>
      </c>
      <c r="G51" s="7">
        <v>45446</v>
      </c>
      <c r="H51" s="14">
        <f t="shared" si="0"/>
        <v>256</v>
      </c>
    </row>
    <row r="52" spans="1:8" ht="25.2" customHeight="1" thickBot="1" x14ac:dyDescent="0.35">
      <c r="A52" s="5">
        <v>1049</v>
      </c>
      <c r="B52" s="6" t="s">
        <v>108</v>
      </c>
      <c r="C52" s="6" t="s">
        <v>26</v>
      </c>
      <c r="D52" s="6" t="s">
        <v>27</v>
      </c>
      <c r="E52" s="5">
        <v>12</v>
      </c>
      <c r="F52" s="5">
        <v>50</v>
      </c>
      <c r="G52" s="7">
        <v>45476</v>
      </c>
      <c r="H52" s="14">
        <f t="shared" si="0"/>
        <v>600</v>
      </c>
    </row>
    <row r="53" spans="1:8" ht="25.2" customHeight="1" thickBot="1" x14ac:dyDescent="0.35">
      <c r="A53" s="5">
        <v>1050</v>
      </c>
      <c r="B53" s="6" t="s">
        <v>109</v>
      </c>
      <c r="C53" s="6" t="s">
        <v>29</v>
      </c>
      <c r="D53" s="6" t="s">
        <v>30</v>
      </c>
      <c r="E53" s="5">
        <v>25</v>
      </c>
      <c r="F53" s="5">
        <v>10</v>
      </c>
      <c r="G53" s="7">
        <v>45507</v>
      </c>
      <c r="H53" s="14">
        <f t="shared" si="0"/>
        <v>250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D147-9844-4746-BB53-DE9BCCFD0694}">
  <dimension ref="A1:I98"/>
  <sheetViews>
    <sheetView workbookViewId="0">
      <selection activeCell="L14" sqref="L14"/>
    </sheetView>
  </sheetViews>
  <sheetFormatPr defaultColWidth="11.88671875" defaultRowHeight="26.4" customHeight="1" x14ac:dyDescent="0.3"/>
  <sheetData>
    <row r="1" spans="1:9" ht="26.4" customHeight="1" thickBot="1" x14ac:dyDescent="0.35">
      <c r="A1" t="s">
        <v>115</v>
      </c>
    </row>
    <row r="2" spans="1:9" ht="26.4" customHeight="1" thickBot="1" x14ac:dyDescent="0.3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16" t="s">
        <v>119</v>
      </c>
      <c r="I2" s="17" t="s">
        <v>21</v>
      </c>
    </row>
    <row r="3" spans="1:9" ht="26.4" customHeight="1" thickBot="1" x14ac:dyDescent="0.35">
      <c r="A3" s="5">
        <v>1001</v>
      </c>
      <c r="B3" s="6" t="s">
        <v>25</v>
      </c>
      <c r="C3" s="6" t="s">
        <v>26</v>
      </c>
      <c r="D3" s="6" t="s">
        <v>27</v>
      </c>
      <c r="E3" s="5">
        <v>10</v>
      </c>
      <c r="F3" s="5">
        <v>50</v>
      </c>
      <c r="G3" s="7">
        <v>45413</v>
      </c>
      <c r="H3" s="14">
        <f>E3*F3</f>
        <v>500</v>
      </c>
      <c r="I3" s="18" t="s">
        <v>27</v>
      </c>
    </row>
    <row r="4" spans="1:9" ht="26.4" customHeight="1" thickBot="1" x14ac:dyDescent="0.35">
      <c r="A4" s="5">
        <v>1002</v>
      </c>
      <c r="B4" s="6" t="s">
        <v>28</v>
      </c>
      <c r="C4" s="6" t="s">
        <v>29</v>
      </c>
      <c r="D4" s="6" t="s">
        <v>30</v>
      </c>
      <c r="E4" s="5">
        <v>20</v>
      </c>
      <c r="F4" s="5">
        <v>10</v>
      </c>
      <c r="G4" s="7">
        <v>45444</v>
      </c>
      <c r="H4" s="14">
        <f t="shared" ref="H4:H52" si="0">E4*F4</f>
        <v>200</v>
      </c>
      <c r="I4" s="18" t="s">
        <v>30</v>
      </c>
    </row>
    <row r="5" spans="1:9" ht="26.4" customHeight="1" thickBot="1" x14ac:dyDescent="0.35">
      <c r="A5" s="5">
        <v>1003</v>
      </c>
      <c r="B5" s="6" t="s">
        <v>31</v>
      </c>
      <c r="C5" s="6" t="s">
        <v>32</v>
      </c>
      <c r="D5" s="6" t="s">
        <v>33</v>
      </c>
      <c r="E5" s="5">
        <v>15</v>
      </c>
      <c r="F5" s="5">
        <v>25</v>
      </c>
      <c r="G5" s="7">
        <v>45474</v>
      </c>
      <c r="H5" s="14">
        <f t="shared" si="0"/>
        <v>375</v>
      </c>
      <c r="I5" s="18" t="s">
        <v>33</v>
      </c>
    </row>
    <row r="6" spans="1:9" ht="26.4" customHeight="1" thickBot="1" x14ac:dyDescent="0.35">
      <c r="A6" s="5">
        <v>1004</v>
      </c>
      <c r="B6" s="6" t="s">
        <v>34</v>
      </c>
      <c r="C6" s="6" t="s">
        <v>35</v>
      </c>
      <c r="D6" s="6" t="s">
        <v>27</v>
      </c>
      <c r="E6" s="5">
        <v>5</v>
      </c>
      <c r="F6" s="5">
        <v>50</v>
      </c>
      <c r="G6" s="7">
        <v>45505</v>
      </c>
      <c r="H6" s="14">
        <f t="shared" si="0"/>
        <v>250</v>
      </c>
      <c r="I6" s="18" t="s">
        <v>27</v>
      </c>
    </row>
    <row r="7" spans="1:9" ht="26.4" customHeight="1" thickBot="1" x14ac:dyDescent="0.35">
      <c r="A7" s="5">
        <v>1005</v>
      </c>
      <c r="B7" s="6" t="s">
        <v>36</v>
      </c>
      <c r="C7" s="6" t="s">
        <v>26</v>
      </c>
      <c r="D7" s="6" t="s">
        <v>37</v>
      </c>
      <c r="E7" s="5">
        <v>30</v>
      </c>
      <c r="F7" s="5">
        <v>5</v>
      </c>
      <c r="G7" s="7">
        <v>45566</v>
      </c>
      <c r="H7" s="14">
        <f t="shared" si="0"/>
        <v>150</v>
      </c>
      <c r="I7" s="18" t="s">
        <v>37</v>
      </c>
    </row>
    <row r="8" spans="1:9" ht="26.4" customHeight="1" thickBot="1" x14ac:dyDescent="0.35">
      <c r="A8" s="5">
        <v>1006</v>
      </c>
      <c r="B8" s="6" t="s">
        <v>38</v>
      </c>
      <c r="C8" s="6" t="s">
        <v>29</v>
      </c>
      <c r="D8" s="6" t="s">
        <v>27</v>
      </c>
      <c r="E8" s="5">
        <v>12</v>
      </c>
      <c r="F8" s="5">
        <v>50</v>
      </c>
      <c r="G8" s="7">
        <v>45597</v>
      </c>
      <c r="H8" s="14">
        <f t="shared" si="0"/>
        <v>600</v>
      </c>
      <c r="I8" s="18" t="s">
        <v>27</v>
      </c>
    </row>
    <row r="9" spans="1:9" ht="26.4" customHeight="1" thickBot="1" x14ac:dyDescent="0.35">
      <c r="A9" s="5">
        <v>1007</v>
      </c>
      <c r="B9" s="6" t="s">
        <v>39</v>
      </c>
      <c r="C9" s="6" t="s">
        <v>32</v>
      </c>
      <c r="D9" s="6" t="s">
        <v>40</v>
      </c>
      <c r="E9" s="5">
        <v>25</v>
      </c>
      <c r="F9" s="5">
        <v>8</v>
      </c>
      <c r="G9" s="5" t="s">
        <v>41</v>
      </c>
      <c r="H9" s="14">
        <f t="shared" si="0"/>
        <v>200</v>
      </c>
      <c r="I9" s="18" t="s">
        <v>40</v>
      </c>
    </row>
    <row r="10" spans="1:9" ht="26.4" customHeight="1" thickBot="1" x14ac:dyDescent="0.35">
      <c r="A10" s="5">
        <v>1008</v>
      </c>
      <c r="B10" s="6" t="s">
        <v>42</v>
      </c>
      <c r="C10" s="6" t="s">
        <v>35</v>
      </c>
      <c r="D10" s="6" t="s">
        <v>30</v>
      </c>
      <c r="E10" s="5">
        <v>18</v>
      </c>
      <c r="F10" s="5">
        <v>10</v>
      </c>
      <c r="G10" s="5" t="s">
        <v>43</v>
      </c>
      <c r="H10" s="14">
        <f t="shared" si="0"/>
        <v>180</v>
      </c>
      <c r="I10" s="18" t="s">
        <v>30</v>
      </c>
    </row>
    <row r="11" spans="1:9" ht="26.4" customHeight="1" thickBot="1" x14ac:dyDescent="0.35">
      <c r="A11" s="5">
        <v>1009</v>
      </c>
      <c r="B11" s="6" t="s">
        <v>44</v>
      </c>
      <c r="C11" s="6" t="s">
        <v>26</v>
      </c>
      <c r="D11" s="6" t="s">
        <v>33</v>
      </c>
      <c r="E11" s="5">
        <v>22</v>
      </c>
      <c r="F11" s="5">
        <v>25</v>
      </c>
      <c r="G11" s="5" t="s">
        <v>45</v>
      </c>
      <c r="H11" s="14">
        <f t="shared" si="0"/>
        <v>550</v>
      </c>
      <c r="I11" s="18" t="s">
        <v>33</v>
      </c>
    </row>
    <row r="12" spans="1:9" ht="26.4" customHeight="1" thickBot="1" x14ac:dyDescent="0.35">
      <c r="A12" s="5">
        <v>1010</v>
      </c>
      <c r="B12" s="6" t="s">
        <v>46</v>
      </c>
      <c r="C12" s="6" t="s">
        <v>29</v>
      </c>
      <c r="D12" s="6" t="s">
        <v>27</v>
      </c>
      <c r="E12" s="5">
        <v>8</v>
      </c>
      <c r="F12" s="5">
        <v>50</v>
      </c>
      <c r="G12" s="5" t="s">
        <v>47</v>
      </c>
      <c r="H12" s="14">
        <f t="shared" si="0"/>
        <v>400</v>
      </c>
      <c r="I12" s="18" t="s">
        <v>27</v>
      </c>
    </row>
    <row r="13" spans="1:9" ht="26.4" customHeight="1" thickBot="1" x14ac:dyDescent="0.35">
      <c r="A13" s="5">
        <v>1011</v>
      </c>
      <c r="B13" s="6" t="s">
        <v>48</v>
      </c>
      <c r="C13" s="6" t="s">
        <v>32</v>
      </c>
      <c r="D13" s="6" t="s">
        <v>37</v>
      </c>
      <c r="E13" s="5">
        <v>40</v>
      </c>
      <c r="F13" s="5">
        <v>5</v>
      </c>
      <c r="G13" s="5" t="s">
        <v>49</v>
      </c>
      <c r="H13" s="14">
        <f t="shared" si="0"/>
        <v>200</v>
      </c>
      <c r="I13" s="18" t="s">
        <v>37</v>
      </c>
    </row>
    <row r="14" spans="1:9" ht="26.4" customHeight="1" thickBot="1" x14ac:dyDescent="0.35">
      <c r="A14" s="5">
        <v>1012</v>
      </c>
      <c r="B14" s="6" t="s">
        <v>50</v>
      </c>
      <c r="C14" s="6" t="s">
        <v>35</v>
      </c>
      <c r="D14" s="6" t="s">
        <v>40</v>
      </c>
      <c r="E14" s="5">
        <v>35</v>
      </c>
      <c r="F14" s="5">
        <v>8</v>
      </c>
      <c r="G14" s="5" t="s">
        <v>51</v>
      </c>
      <c r="H14" s="14">
        <f t="shared" si="0"/>
        <v>280</v>
      </c>
      <c r="I14" s="18" t="s">
        <v>40</v>
      </c>
    </row>
    <row r="15" spans="1:9" ht="26.4" customHeight="1" thickBot="1" x14ac:dyDescent="0.35">
      <c r="A15" s="5">
        <v>1013</v>
      </c>
      <c r="B15" s="6" t="s">
        <v>52</v>
      </c>
      <c r="C15" s="6" t="s">
        <v>26</v>
      </c>
      <c r="D15" s="6" t="s">
        <v>27</v>
      </c>
      <c r="E15" s="5">
        <v>14</v>
      </c>
      <c r="F15" s="5">
        <v>50</v>
      </c>
      <c r="G15" s="5" t="s">
        <v>53</v>
      </c>
      <c r="H15" s="14">
        <f t="shared" si="0"/>
        <v>700</v>
      </c>
      <c r="I15" s="18" t="s">
        <v>27</v>
      </c>
    </row>
    <row r="16" spans="1:9" ht="26.4" customHeight="1" thickBot="1" x14ac:dyDescent="0.35">
      <c r="A16" s="5">
        <v>1014</v>
      </c>
      <c r="B16" s="6" t="s">
        <v>54</v>
      </c>
      <c r="C16" s="6" t="s">
        <v>29</v>
      </c>
      <c r="D16" s="6" t="s">
        <v>30</v>
      </c>
      <c r="E16" s="5">
        <v>28</v>
      </c>
      <c r="F16" s="5">
        <v>10</v>
      </c>
      <c r="G16" s="5" t="s">
        <v>55</v>
      </c>
      <c r="H16" s="14">
        <f t="shared" si="0"/>
        <v>280</v>
      </c>
      <c r="I16" s="18" t="s">
        <v>30</v>
      </c>
    </row>
    <row r="17" spans="1:9" ht="26.4" customHeight="1" thickBot="1" x14ac:dyDescent="0.35">
      <c r="A17" s="5">
        <v>1015</v>
      </c>
      <c r="B17" s="6" t="s">
        <v>56</v>
      </c>
      <c r="C17" s="6" t="s">
        <v>32</v>
      </c>
      <c r="D17" s="6" t="s">
        <v>33</v>
      </c>
      <c r="E17" s="5">
        <v>12</v>
      </c>
      <c r="F17" s="5">
        <v>25</v>
      </c>
      <c r="G17" s="5" t="s">
        <v>57</v>
      </c>
      <c r="H17" s="14">
        <f t="shared" si="0"/>
        <v>300</v>
      </c>
      <c r="I17" s="18" t="s">
        <v>33</v>
      </c>
    </row>
    <row r="18" spans="1:9" ht="26.4" customHeight="1" thickBot="1" x14ac:dyDescent="0.35">
      <c r="A18" s="5">
        <v>1016</v>
      </c>
      <c r="B18" s="6" t="s">
        <v>58</v>
      </c>
      <c r="C18" s="6" t="s">
        <v>35</v>
      </c>
      <c r="D18" s="6" t="s">
        <v>37</v>
      </c>
      <c r="E18" s="5">
        <v>25</v>
      </c>
      <c r="F18" s="5">
        <v>5</v>
      </c>
      <c r="G18" s="5" t="s">
        <v>59</v>
      </c>
      <c r="H18" s="14">
        <f t="shared" si="0"/>
        <v>125</v>
      </c>
      <c r="I18" s="18" t="s">
        <v>37</v>
      </c>
    </row>
    <row r="19" spans="1:9" ht="26.4" customHeight="1" thickBot="1" x14ac:dyDescent="0.35">
      <c r="A19" s="5">
        <v>1017</v>
      </c>
      <c r="B19" s="6" t="s">
        <v>60</v>
      </c>
      <c r="C19" s="6" t="s">
        <v>26</v>
      </c>
      <c r="D19" s="6" t="s">
        <v>40</v>
      </c>
      <c r="E19" s="5">
        <v>20</v>
      </c>
      <c r="F19" s="5">
        <v>8</v>
      </c>
      <c r="G19" s="5" t="s">
        <v>61</v>
      </c>
      <c r="H19" s="14">
        <f t="shared" si="0"/>
        <v>160</v>
      </c>
      <c r="I19" s="18" t="s">
        <v>40</v>
      </c>
    </row>
    <row r="20" spans="1:9" ht="26.4" customHeight="1" thickBot="1" x14ac:dyDescent="0.35">
      <c r="A20" s="5">
        <v>1018</v>
      </c>
      <c r="B20" s="6" t="s">
        <v>62</v>
      </c>
      <c r="C20" s="6" t="s">
        <v>29</v>
      </c>
      <c r="D20" s="6" t="s">
        <v>27</v>
      </c>
      <c r="E20" s="5">
        <v>10</v>
      </c>
      <c r="F20" s="5">
        <v>50</v>
      </c>
      <c r="G20" s="5" t="s">
        <v>63</v>
      </c>
      <c r="H20" s="14">
        <f t="shared" si="0"/>
        <v>500</v>
      </c>
      <c r="I20" s="18" t="s">
        <v>27</v>
      </c>
    </row>
    <row r="21" spans="1:9" ht="26.4" customHeight="1" thickBot="1" x14ac:dyDescent="0.35">
      <c r="A21" s="5">
        <v>1019</v>
      </c>
      <c r="B21" s="6" t="s">
        <v>64</v>
      </c>
      <c r="C21" s="6" t="s">
        <v>32</v>
      </c>
      <c r="D21" s="6" t="s">
        <v>30</v>
      </c>
      <c r="E21" s="5">
        <v>15</v>
      </c>
      <c r="F21" s="5">
        <v>10</v>
      </c>
      <c r="G21" s="5" t="s">
        <v>65</v>
      </c>
      <c r="H21" s="14">
        <f t="shared" si="0"/>
        <v>150</v>
      </c>
      <c r="I21" s="18" t="s">
        <v>30</v>
      </c>
    </row>
    <row r="22" spans="1:9" ht="26.4" customHeight="1" thickBot="1" x14ac:dyDescent="0.35">
      <c r="A22" s="5">
        <v>1020</v>
      </c>
      <c r="B22" s="6" t="s">
        <v>66</v>
      </c>
      <c r="C22" s="6" t="s">
        <v>35</v>
      </c>
      <c r="D22" s="6" t="s">
        <v>33</v>
      </c>
      <c r="E22" s="5">
        <v>18</v>
      </c>
      <c r="F22" s="5">
        <v>25</v>
      </c>
      <c r="G22" s="7">
        <v>45293</v>
      </c>
      <c r="H22" s="14">
        <f t="shared" si="0"/>
        <v>450</v>
      </c>
      <c r="I22" s="18" t="s">
        <v>33</v>
      </c>
    </row>
    <row r="23" spans="1:9" ht="26.4" customHeight="1" thickBot="1" x14ac:dyDescent="0.35">
      <c r="A23" s="5">
        <v>1021</v>
      </c>
      <c r="B23" s="6" t="s">
        <v>67</v>
      </c>
      <c r="C23" s="6" t="s">
        <v>26</v>
      </c>
      <c r="D23" s="6" t="s">
        <v>27</v>
      </c>
      <c r="E23" s="5">
        <v>9</v>
      </c>
      <c r="F23" s="5">
        <v>50</v>
      </c>
      <c r="G23" s="7">
        <v>45324</v>
      </c>
      <c r="H23" s="14">
        <f t="shared" si="0"/>
        <v>450</v>
      </c>
      <c r="I23" s="18" t="s">
        <v>27</v>
      </c>
    </row>
    <row r="24" spans="1:9" ht="26.4" customHeight="1" thickBot="1" x14ac:dyDescent="0.35">
      <c r="A24" s="5">
        <v>1022</v>
      </c>
      <c r="B24" s="6" t="s">
        <v>68</v>
      </c>
      <c r="C24" s="6" t="s">
        <v>29</v>
      </c>
      <c r="D24" s="6" t="s">
        <v>37</v>
      </c>
      <c r="E24" s="5">
        <v>35</v>
      </c>
      <c r="F24" s="5">
        <v>5</v>
      </c>
      <c r="G24" s="7">
        <v>45353</v>
      </c>
      <c r="H24" s="14">
        <f t="shared" si="0"/>
        <v>175</v>
      </c>
      <c r="I24" s="18" t="s">
        <v>37</v>
      </c>
    </row>
    <row r="25" spans="1:9" ht="26.4" customHeight="1" thickBot="1" x14ac:dyDescent="0.35">
      <c r="A25" s="5">
        <v>1023</v>
      </c>
      <c r="B25" s="6" t="s">
        <v>69</v>
      </c>
      <c r="C25" s="6" t="s">
        <v>32</v>
      </c>
      <c r="D25" s="6" t="s">
        <v>40</v>
      </c>
      <c r="E25" s="5">
        <v>30</v>
      </c>
      <c r="F25" s="5">
        <v>8</v>
      </c>
      <c r="G25" s="7">
        <v>45384</v>
      </c>
      <c r="H25" s="14">
        <f t="shared" si="0"/>
        <v>240</v>
      </c>
      <c r="I25" s="18" t="s">
        <v>40</v>
      </c>
    </row>
    <row r="26" spans="1:9" ht="26.4" customHeight="1" thickBot="1" x14ac:dyDescent="0.35">
      <c r="A26" s="5">
        <v>1024</v>
      </c>
      <c r="B26" s="6" t="s">
        <v>70</v>
      </c>
      <c r="C26" s="6" t="s">
        <v>35</v>
      </c>
      <c r="D26" s="6" t="s">
        <v>27</v>
      </c>
      <c r="E26" s="5">
        <v>11</v>
      </c>
      <c r="F26" s="5">
        <v>50</v>
      </c>
      <c r="G26" s="7">
        <v>45445</v>
      </c>
      <c r="H26" s="14">
        <f t="shared" si="0"/>
        <v>550</v>
      </c>
      <c r="I26" s="18" t="s">
        <v>27</v>
      </c>
    </row>
    <row r="27" spans="1:9" ht="26.4" customHeight="1" thickBot="1" x14ac:dyDescent="0.35">
      <c r="A27" s="5">
        <v>1025</v>
      </c>
      <c r="B27" s="6" t="s">
        <v>71</v>
      </c>
      <c r="C27" s="6" t="s">
        <v>26</v>
      </c>
      <c r="D27" s="6" t="s">
        <v>30</v>
      </c>
      <c r="E27" s="5">
        <v>14</v>
      </c>
      <c r="F27" s="5">
        <v>10</v>
      </c>
      <c r="G27" s="7">
        <v>45475</v>
      </c>
      <c r="H27" s="14">
        <f t="shared" si="0"/>
        <v>140</v>
      </c>
      <c r="I27" s="18" t="s">
        <v>30</v>
      </c>
    </row>
    <row r="28" spans="1:9" ht="26.4" customHeight="1" thickBot="1" x14ac:dyDescent="0.35">
      <c r="A28" s="5">
        <v>1026</v>
      </c>
      <c r="B28" s="6" t="s">
        <v>72</v>
      </c>
      <c r="C28" s="6" t="s">
        <v>29</v>
      </c>
      <c r="D28" s="6" t="s">
        <v>33</v>
      </c>
      <c r="E28" s="5">
        <v>16</v>
      </c>
      <c r="F28" s="5">
        <v>25</v>
      </c>
      <c r="G28" s="7">
        <v>45506</v>
      </c>
      <c r="H28" s="14">
        <f t="shared" si="0"/>
        <v>400</v>
      </c>
      <c r="I28" s="18" t="s">
        <v>33</v>
      </c>
    </row>
    <row r="29" spans="1:9" ht="26.4" customHeight="1" thickBot="1" x14ac:dyDescent="0.35">
      <c r="A29" s="5">
        <v>1027</v>
      </c>
      <c r="B29" s="6" t="s">
        <v>73</v>
      </c>
      <c r="C29" s="6" t="s">
        <v>32</v>
      </c>
      <c r="D29" s="6" t="s">
        <v>37</v>
      </c>
      <c r="E29" s="5">
        <v>22</v>
      </c>
      <c r="F29" s="5">
        <v>5</v>
      </c>
      <c r="G29" s="7">
        <v>45537</v>
      </c>
      <c r="H29" s="14">
        <f t="shared" si="0"/>
        <v>110</v>
      </c>
      <c r="I29" s="18" t="s">
        <v>37</v>
      </c>
    </row>
    <row r="30" spans="1:9" ht="26.4" customHeight="1" thickBot="1" x14ac:dyDescent="0.35">
      <c r="A30" s="5">
        <v>1028</v>
      </c>
      <c r="B30" s="6" t="s">
        <v>74</v>
      </c>
      <c r="C30" s="6" t="s">
        <v>35</v>
      </c>
      <c r="D30" s="6" t="s">
        <v>40</v>
      </c>
      <c r="E30" s="5">
        <v>27</v>
      </c>
      <c r="F30" s="5">
        <v>8</v>
      </c>
      <c r="G30" s="7">
        <v>45567</v>
      </c>
      <c r="H30" s="14">
        <f t="shared" si="0"/>
        <v>216</v>
      </c>
      <c r="I30" s="18" t="s">
        <v>40</v>
      </c>
    </row>
    <row r="31" spans="1:9" ht="26.4" customHeight="1" thickBot="1" x14ac:dyDescent="0.35">
      <c r="A31" s="5">
        <v>1029</v>
      </c>
      <c r="B31" s="6" t="s">
        <v>75</v>
      </c>
      <c r="C31" s="6" t="s">
        <v>26</v>
      </c>
      <c r="D31" s="6" t="s">
        <v>27</v>
      </c>
      <c r="E31" s="5">
        <v>13</v>
      </c>
      <c r="F31" s="5">
        <v>50</v>
      </c>
      <c r="G31" s="7">
        <v>45628</v>
      </c>
      <c r="H31" s="14">
        <f t="shared" si="0"/>
        <v>650</v>
      </c>
      <c r="I31" s="18" t="s">
        <v>27</v>
      </c>
    </row>
    <row r="32" spans="1:9" ht="26.4" customHeight="1" thickBot="1" x14ac:dyDescent="0.35">
      <c r="A32" s="5">
        <v>1030</v>
      </c>
      <c r="B32" s="6" t="s">
        <v>76</v>
      </c>
      <c r="C32" s="6" t="s">
        <v>29</v>
      </c>
      <c r="D32" s="6" t="s">
        <v>30</v>
      </c>
      <c r="E32" s="5">
        <v>32</v>
      </c>
      <c r="F32" s="5">
        <v>10</v>
      </c>
      <c r="G32" s="5" t="s">
        <v>77</v>
      </c>
      <c r="H32" s="14">
        <f t="shared" si="0"/>
        <v>320</v>
      </c>
      <c r="I32" s="18" t="s">
        <v>30</v>
      </c>
    </row>
    <row r="33" spans="1:9" ht="26.4" customHeight="1" thickBot="1" x14ac:dyDescent="0.35">
      <c r="A33" s="5">
        <v>1031</v>
      </c>
      <c r="B33" s="6" t="s">
        <v>78</v>
      </c>
      <c r="C33" s="6" t="s">
        <v>32</v>
      </c>
      <c r="D33" s="6" t="s">
        <v>33</v>
      </c>
      <c r="E33" s="5">
        <v>10</v>
      </c>
      <c r="F33" s="5">
        <v>25</v>
      </c>
      <c r="G33" s="5" t="s">
        <v>79</v>
      </c>
      <c r="H33" s="14">
        <f t="shared" si="0"/>
        <v>250</v>
      </c>
      <c r="I33" s="18" t="s">
        <v>33</v>
      </c>
    </row>
    <row r="34" spans="1:9" ht="26.4" customHeight="1" thickBot="1" x14ac:dyDescent="0.35">
      <c r="A34" s="5">
        <v>1032</v>
      </c>
      <c r="B34" s="6" t="s">
        <v>80</v>
      </c>
      <c r="C34" s="6" t="s">
        <v>35</v>
      </c>
      <c r="D34" s="6" t="s">
        <v>37</v>
      </c>
      <c r="E34" s="5">
        <v>18</v>
      </c>
      <c r="F34" s="5">
        <v>5</v>
      </c>
      <c r="G34" s="5" t="s">
        <v>81</v>
      </c>
      <c r="H34" s="14">
        <f t="shared" si="0"/>
        <v>90</v>
      </c>
      <c r="I34" s="18" t="s">
        <v>37</v>
      </c>
    </row>
    <row r="35" spans="1:9" ht="26.4" customHeight="1" thickBot="1" x14ac:dyDescent="0.35">
      <c r="A35" s="5">
        <v>1033</v>
      </c>
      <c r="B35" s="6" t="s">
        <v>82</v>
      </c>
      <c r="C35" s="6" t="s">
        <v>26</v>
      </c>
      <c r="D35" s="6" t="s">
        <v>40</v>
      </c>
      <c r="E35" s="5">
        <v>22</v>
      </c>
      <c r="F35" s="5">
        <v>8</v>
      </c>
      <c r="G35" s="5" t="s">
        <v>83</v>
      </c>
      <c r="H35" s="14">
        <f t="shared" si="0"/>
        <v>176</v>
      </c>
      <c r="I35" s="18" t="s">
        <v>40</v>
      </c>
    </row>
    <row r="36" spans="1:9" ht="26.4" customHeight="1" thickBot="1" x14ac:dyDescent="0.35">
      <c r="A36" s="5">
        <v>1034</v>
      </c>
      <c r="B36" s="6" t="s">
        <v>84</v>
      </c>
      <c r="C36" s="6" t="s">
        <v>29</v>
      </c>
      <c r="D36" s="6" t="s">
        <v>27</v>
      </c>
      <c r="E36" s="5">
        <v>17</v>
      </c>
      <c r="F36" s="5">
        <v>50</v>
      </c>
      <c r="G36" s="5" t="s">
        <v>85</v>
      </c>
      <c r="H36" s="14">
        <f t="shared" si="0"/>
        <v>850</v>
      </c>
      <c r="I36" s="18" t="s">
        <v>27</v>
      </c>
    </row>
    <row r="37" spans="1:9" ht="26.4" customHeight="1" thickBot="1" x14ac:dyDescent="0.35">
      <c r="A37" s="5">
        <v>1035</v>
      </c>
      <c r="B37" s="6" t="s">
        <v>86</v>
      </c>
      <c r="C37" s="6" t="s">
        <v>32</v>
      </c>
      <c r="D37" s="6" t="s">
        <v>30</v>
      </c>
      <c r="E37" s="5">
        <v>19</v>
      </c>
      <c r="F37" s="5">
        <v>10</v>
      </c>
      <c r="G37" s="5" t="s">
        <v>87</v>
      </c>
      <c r="H37" s="14">
        <f t="shared" si="0"/>
        <v>190</v>
      </c>
      <c r="I37" s="18" t="s">
        <v>30</v>
      </c>
    </row>
    <row r="38" spans="1:9" ht="26.4" customHeight="1" thickBot="1" x14ac:dyDescent="0.35">
      <c r="A38" s="5">
        <v>1036</v>
      </c>
      <c r="B38" s="6" t="s">
        <v>88</v>
      </c>
      <c r="C38" s="6" t="s">
        <v>35</v>
      </c>
      <c r="D38" s="6" t="s">
        <v>33</v>
      </c>
      <c r="E38" s="5">
        <v>15</v>
      </c>
      <c r="F38" s="5">
        <v>25</v>
      </c>
      <c r="G38" s="5" t="s">
        <v>89</v>
      </c>
      <c r="H38" s="14">
        <f t="shared" si="0"/>
        <v>375</v>
      </c>
      <c r="I38" s="18" t="s">
        <v>33</v>
      </c>
    </row>
    <row r="39" spans="1:9" ht="26.4" customHeight="1" thickBot="1" x14ac:dyDescent="0.35">
      <c r="A39" s="5">
        <v>1037</v>
      </c>
      <c r="B39" s="6" t="s">
        <v>90</v>
      </c>
      <c r="C39" s="6" t="s">
        <v>26</v>
      </c>
      <c r="D39" s="6" t="s">
        <v>37</v>
      </c>
      <c r="E39" s="5">
        <v>28</v>
      </c>
      <c r="F39" s="5">
        <v>5</v>
      </c>
      <c r="G39" s="5" t="s">
        <v>91</v>
      </c>
      <c r="H39" s="14">
        <f t="shared" si="0"/>
        <v>140</v>
      </c>
      <c r="I39" s="18" t="s">
        <v>37</v>
      </c>
    </row>
    <row r="40" spans="1:9" ht="26.4" customHeight="1" thickBot="1" x14ac:dyDescent="0.35">
      <c r="A40" s="5">
        <v>1038</v>
      </c>
      <c r="B40" s="6" t="s">
        <v>92</v>
      </c>
      <c r="C40" s="6" t="s">
        <v>29</v>
      </c>
      <c r="D40" s="6" t="s">
        <v>40</v>
      </c>
      <c r="E40" s="5">
        <v>24</v>
      </c>
      <c r="F40" s="5">
        <v>8</v>
      </c>
      <c r="G40" s="5" t="s">
        <v>93</v>
      </c>
      <c r="H40" s="14">
        <f t="shared" si="0"/>
        <v>192</v>
      </c>
      <c r="I40" s="18" t="s">
        <v>40</v>
      </c>
    </row>
    <row r="41" spans="1:9" ht="26.4" customHeight="1" thickBot="1" x14ac:dyDescent="0.35">
      <c r="A41" s="5">
        <v>1039</v>
      </c>
      <c r="B41" s="6" t="s">
        <v>94</v>
      </c>
      <c r="C41" s="6" t="s">
        <v>32</v>
      </c>
      <c r="D41" s="6" t="s">
        <v>27</v>
      </c>
      <c r="E41" s="5">
        <v>16</v>
      </c>
      <c r="F41" s="5">
        <v>50</v>
      </c>
      <c r="G41" s="5" t="s">
        <v>95</v>
      </c>
      <c r="H41" s="14">
        <f t="shared" si="0"/>
        <v>800</v>
      </c>
      <c r="I41" s="18" t="s">
        <v>27</v>
      </c>
    </row>
    <row r="42" spans="1:9" ht="26.4" customHeight="1" thickBot="1" x14ac:dyDescent="0.35">
      <c r="A42" s="5">
        <v>1040</v>
      </c>
      <c r="B42" s="6" t="s">
        <v>96</v>
      </c>
      <c r="C42" s="6" t="s">
        <v>35</v>
      </c>
      <c r="D42" s="6" t="s">
        <v>30</v>
      </c>
      <c r="E42" s="5">
        <v>27</v>
      </c>
      <c r="F42" s="5">
        <v>10</v>
      </c>
      <c r="G42" s="5" t="s">
        <v>97</v>
      </c>
      <c r="H42" s="14">
        <f t="shared" si="0"/>
        <v>270</v>
      </c>
      <c r="I42" s="18" t="s">
        <v>30</v>
      </c>
    </row>
    <row r="43" spans="1:9" ht="26.4" customHeight="1" thickBot="1" x14ac:dyDescent="0.35">
      <c r="A43" s="5">
        <v>1041</v>
      </c>
      <c r="B43" s="6" t="s">
        <v>98</v>
      </c>
      <c r="C43" s="6" t="s">
        <v>26</v>
      </c>
      <c r="D43" s="6" t="s">
        <v>33</v>
      </c>
      <c r="E43" s="5">
        <v>21</v>
      </c>
      <c r="F43" s="5">
        <v>25</v>
      </c>
      <c r="G43" s="5" t="s">
        <v>99</v>
      </c>
      <c r="H43" s="14">
        <f t="shared" si="0"/>
        <v>525</v>
      </c>
      <c r="I43" s="18" t="s">
        <v>33</v>
      </c>
    </row>
    <row r="44" spans="1:9" ht="26.4" customHeight="1" thickBot="1" x14ac:dyDescent="0.35">
      <c r="A44" s="5">
        <v>1042</v>
      </c>
      <c r="B44" s="6" t="s">
        <v>100</v>
      </c>
      <c r="C44" s="6" t="s">
        <v>29</v>
      </c>
      <c r="D44" s="6" t="s">
        <v>37</v>
      </c>
      <c r="E44" s="5">
        <v>30</v>
      </c>
      <c r="F44" s="5">
        <v>5</v>
      </c>
      <c r="G44" s="5" t="s">
        <v>101</v>
      </c>
      <c r="H44" s="14">
        <f t="shared" si="0"/>
        <v>150</v>
      </c>
      <c r="I44" s="18" t="s">
        <v>37</v>
      </c>
    </row>
    <row r="45" spans="1:9" ht="26.4" customHeight="1" thickBot="1" x14ac:dyDescent="0.35">
      <c r="A45" s="5">
        <v>1043</v>
      </c>
      <c r="B45" s="6" t="s">
        <v>102</v>
      </c>
      <c r="C45" s="6" t="s">
        <v>32</v>
      </c>
      <c r="D45" s="6" t="s">
        <v>40</v>
      </c>
      <c r="E45" s="5">
        <v>26</v>
      </c>
      <c r="F45" s="5">
        <v>8</v>
      </c>
      <c r="G45" s="7">
        <v>45294</v>
      </c>
      <c r="H45" s="14">
        <f t="shared" si="0"/>
        <v>208</v>
      </c>
      <c r="I45" s="18" t="s">
        <v>40</v>
      </c>
    </row>
    <row r="46" spans="1:9" ht="26.4" customHeight="1" thickBot="1" x14ac:dyDescent="0.35">
      <c r="A46" s="5">
        <v>1044</v>
      </c>
      <c r="B46" s="6" t="s">
        <v>103</v>
      </c>
      <c r="C46" s="6" t="s">
        <v>35</v>
      </c>
      <c r="D46" s="6" t="s">
        <v>27</v>
      </c>
      <c r="E46" s="5">
        <v>14</v>
      </c>
      <c r="F46" s="5">
        <v>50</v>
      </c>
      <c r="G46" s="7">
        <v>45325</v>
      </c>
      <c r="H46" s="14">
        <f t="shared" si="0"/>
        <v>700</v>
      </c>
      <c r="I46" s="18" t="s">
        <v>27</v>
      </c>
    </row>
    <row r="47" spans="1:9" ht="26.4" customHeight="1" thickBot="1" x14ac:dyDescent="0.35">
      <c r="A47" s="5">
        <v>1045</v>
      </c>
      <c r="B47" s="6" t="s">
        <v>104</v>
      </c>
      <c r="C47" s="6" t="s">
        <v>26</v>
      </c>
      <c r="D47" s="6" t="s">
        <v>30</v>
      </c>
      <c r="E47" s="5">
        <v>20</v>
      </c>
      <c r="F47" s="5">
        <v>10</v>
      </c>
      <c r="G47" s="7">
        <v>45354</v>
      </c>
      <c r="H47" s="14">
        <f t="shared" si="0"/>
        <v>200</v>
      </c>
      <c r="I47" s="18" t="s">
        <v>30</v>
      </c>
    </row>
    <row r="48" spans="1:9" ht="26.4" customHeight="1" thickBot="1" x14ac:dyDescent="0.35">
      <c r="A48" s="5">
        <v>1046</v>
      </c>
      <c r="B48" s="6" t="s">
        <v>105</v>
      </c>
      <c r="C48" s="6" t="s">
        <v>29</v>
      </c>
      <c r="D48" s="6" t="s">
        <v>33</v>
      </c>
      <c r="E48" s="5">
        <v>17</v>
      </c>
      <c r="F48" s="5">
        <v>25</v>
      </c>
      <c r="G48" s="7">
        <v>45385</v>
      </c>
      <c r="H48" s="14">
        <f t="shared" si="0"/>
        <v>425</v>
      </c>
      <c r="I48" s="18" t="s">
        <v>33</v>
      </c>
    </row>
    <row r="49" spans="1:9" ht="26.4" customHeight="1" thickBot="1" x14ac:dyDescent="0.35">
      <c r="A49" s="5">
        <v>1047</v>
      </c>
      <c r="B49" s="6" t="s">
        <v>106</v>
      </c>
      <c r="C49" s="6" t="s">
        <v>32</v>
      </c>
      <c r="D49" s="6" t="s">
        <v>37</v>
      </c>
      <c r="E49" s="5">
        <v>19</v>
      </c>
      <c r="F49" s="5">
        <v>5</v>
      </c>
      <c r="G49" s="7">
        <v>45415</v>
      </c>
      <c r="H49" s="14">
        <f t="shared" si="0"/>
        <v>95</v>
      </c>
      <c r="I49" s="18" t="s">
        <v>37</v>
      </c>
    </row>
    <row r="50" spans="1:9" ht="26.4" customHeight="1" thickBot="1" x14ac:dyDescent="0.35">
      <c r="A50" s="5">
        <v>1048</v>
      </c>
      <c r="B50" s="6" t="s">
        <v>107</v>
      </c>
      <c r="C50" s="6" t="s">
        <v>35</v>
      </c>
      <c r="D50" s="6" t="s">
        <v>40</v>
      </c>
      <c r="E50" s="5">
        <v>32</v>
      </c>
      <c r="F50" s="5">
        <v>8</v>
      </c>
      <c r="G50" s="7">
        <v>45446</v>
      </c>
      <c r="H50" s="14">
        <f t="shared" si="0"/>
        <v>256</v>
      </c>
      <c r="I50" s="18" t="s">
        <v>40</v>
      </c>
    </row>
    <row r="51" spans="1:9" ht="26.4" customHeight="1" thickBot="1" x14ac:dyDescent="0.35">
      <c r="A51" s="5">
        <v>1049</v>
      </c>
      <c r="B51" s="6" t="s">
        <v>108</v>
      </c>
      <c r="C51" s="6" t="s">
        <v>26</v>
      </c>
      <c r="D51" s="6" t="s">
        <v>27</v>
      </c>
      <c r="E51" s="5">
        <v>12</v>
      </c>
      <c r="F51" s="5">
        <v>50</v>
      </c>
      <c r="G51" s="7">
        <v>45476</v>
      </c>
      <c r="H51" s="14">
        <f t="shared" si="0"/>
        <v>600</v>
      </c>
      <c r="I51" s="18" t="s">
        <v>27</v>
      </c>
    </row>
    <row r="52" spans="1:9" ht="26.4" customHeight="1" thickBot="1" x14ac:dyDescent="0.35">
      <c r="A52" s="5">
        <v>1050</v>
      </c>
      <c r="B52" s="6" t="s">
        <v>109</v>
      </c>
      <c r="C52" s="6" t="s">
        <v>29</v>
      </c>
      <c r="D52" s="6" t="s">
        <v>30</v>
      </c>
      <c r="E52" s="5">
        <v>25</v>
      </c>
      <c r="F52" s="5">
        <v>10</v>
      </c>
      <c r="G52" s="7">
        <v>45507</v>
      </c>
      <c r="H52" s="14">
        <f t="shared" si="0"/>
        <v>250</v>
      </c>
      <c r="I52" s="18" t="s">
        <v>30</v>
      </c>
    </row>
    <row r="53" spans="1:9" ht="26.4" customHeight="1" thickBot="1" x14ac:dyDescent="0.35"/>
    <row r="54" spans="1:9" ht="26.4" customHeight="1" thickBot="1" x14ac:dyDescent="0.35">
      <c r="A54" s="4"/>
      <c r="B54" s="4"/>
      <c r="C54" s="4"/>
    </row>
    <row r="55" spans="1:9" ht="26.4" customHeight="1" thickBot="1" x14ac:dyDescent="0.35">
      <c r="A55" s="6"/>
      <c r="B55" s="5"/>
      <c r="C55" s="5"/>
    </row>
    <row r="56" spans="1:9" ht="26.4" customHeight="1" thickBot="1" x14ac:dyDescent="0.35">
      <c r="A56" s="6"/>
      <c r="B56" s="5"/>
      <c r="C56" s="5"/>
    </row>
    <row r="57" spans="1:9" ht="26.4" customHeight="1" thickBot="1" x14ac:dyDescent="0.35">
      <c r="A57" s="6"/>
      <c r="B57" s="5"/>
      <c r="C57" s="5"/>
    </row>
    <row r="58" spans="1:9" ht="26.4" customHeight="1" thickBot="1" x14ac:dyDescent="0.35">
      <c r="A58" s="6"/>
      <c r="B58" s="5"/>
      <c r="C58" s="5"/>
    </row>
    <row r="59" spans="1:9" ht="26.4" customHeight="1" thickBot="1" x14ac:dyDescent="0.35">
      <c r="A59" s="6"/>
      <c r="B59" s="5"/>
      <c r="C59" s="5"/>
    </row>
    <row r="60" spans="1:9" ht="26.4" customHeight="1" thickBot="1" x14ac:dyDescent="0.35">
      <c r="A60" s="6"/>
      <c r="B60" s="5"/>
      <c r="C60" s="5"/>
    </row>
    <row r="61" spans="1:9" ht="26.4" customHeight="1" thickBot="1" x14ac:dyDescent="0.35">
      <c r="A61" s="6"/>
      <c r="B61" s="5"/>
      <c r="C61" s="5"/>
    </row>
    <row r="62" spans="1:9" ht="26.4" customHeight="1" thickBot="1" x14ac:dyDescent="0.35">
      <c r="A62" s="6"/>
      <c r="B62" s="5"/>
      <c r="C62" s="5"/>
    </row>
    <row r="63" spans="1:9" ht="26.4" customHeight="1" thickBot="1" x14ac:dyDescent="0.35">
      <c r="A63" s="6"/>
      <c r="B63" s="5"/>
      <c r="C63" s="5"/>
    </row>
    <row r="64" spans="1:9" ht="26.4" customHeight="1" thickBot="1" x14ac:dyDescent="0.35">
      <c r="A64" s="6"/>
      <c r="B64" s="5"/>
      <c r="C64" s="5"/>
    </row>
    <row r="65" spans="1:3" ht="26.4" customHeight="1" thickBot="1" x14ac:dyDescent="0.35">
      <c r="A65" s="6"/>
      <c r="B65" s="5"/>
      <c r="C65" s="5"/>
    </row>
    <row r="66" spans="1:3" ht="26.4" customHeight="1" thickBot="1" x14ac:dyDescent="0.35">
      <c r="A66" s="6"/>
      <c r="B66" s="5"/>
      <c r="C66" s="5"/>
    </row>
    <row r="67" spans="1:3" ht="26.4" customHeight="1" thickBot="1" x14ac:dyDescent="0.35">
      <c r="A67" s="6"/>
      <c r="B67" s="5"/>
      <c r="C67" s="5"/>
    </row>
    <row r="68" spans="1:3" ht="26.4" customHeight="1" thickBot="1" x14ac:dyDescent="0.35">
      <c r="A68" s="6"/>
      <c r="B68" s="5"/>
      <c r="C68" s="5"/>
    </row>
    <row r="69" spans="1:3" ht="26.4" customHeight="1" thickBot="1" x14ac:dyDescent="0.35">
      <c r="A69" s="6"/>
      <c r="B69" s="5"/>
      <c r="C69" s="5"/>
    </row>
    <row r="70" spans="1:3" ht="26.4" customHeight="1" thickBot="1" x14ac:dyDescent="0.35">
      <c r="A70" s="6"/>
      <c r="B70" s="5"/>
      <c r="C70" s="5"/>
    </row>
    <row r="71" spans="1:3" ht="26.4" customHeight="1" thickBot="1" x14ac:dyDescent="0.35">
      <c r="A71" s="6"/>
      <c r="B71" s="5"/>
      <c r="C71" s="5"/>
    </row>
    <row r="72" spans="1:3" ht="26.4" customHeight="1" thickBot="1" x14ac:dyDescent="0.35">
      <c r="A72" s="6"/>
      <c r="B72" s="5"/>
      <c r="C72" s="5"/>
    </row>
    <row r="73" spans="1:3" ht="26.4" customHeight="1" thickBot="1" x14ac:dyDescent="0.35">
      <c r="A73" s="6"/>
      <c r="B73" s="5"/>
      <c r="C73" s="5"/>
    </row>
    <row r="74" spans="1:3" ht="26.4" customHeight="1" thickBot="1" x14ac:dyDescent="0.35">
      <c r="A74" s="6"/>
      <c r="B74" s="5"/>
      <c r="C74" s="5"/>
    </row>
    <row r="75" spans="1:3" ht="26.4" customHeight="1" thickBot="1" x14ac:dyDescent="0.35">
      <c r="A75" s="6"/>
      <c r="B75" s="5"/>
      <c r="C75" s="5"/>
    </row>
    <row r="76" spans="1:3" ht="26.4" customHeight="1" thickBot="1" x14ac:dyDescent="0.35">
      <c r="A76" s="6"/>
      <c r="B76" s="5"/>
      <c r="C76" s="5"/>
    </row>
    <row r="77" spans="1:3" ht="26.4" customHeight="1" thickBot="1" x14ac:dyDescent="0.35">
      <c r="A77" s="6"/>
      <c r="B77" s="5"/>
      <c r="C77" s="5"/>
    </row>
    <row r="78" spans="1:3" ht="26.4" customHeight="1" thickBot="1" x14ac:dyDescent="0.35">
      <c r="A78" s="6"/>
      <c r="B78" s="5"/>
      <c r="C78" s="5"/>
    </row>
    <row r="79" spans="1:3" ht="26.4" customHeight="1" thickBot="1" x14ac:dyDescent="0.35">
      <c r="A79" s="6"/>
      <c r="B79" s="5"/>
      <c r="C79" s="5"/>
    </row>
    <row r="80" spans="1:3" ht="26.4" customHeight="1" thickBot="1" x14ac:dyDescent="0.35">
      <c r="A80" s="6"/>
      <c r="B80" s="5"/>
      <c r="C80" s="5"/>
    </row>
    <row r="81" spans="1:3" ht="26.4" customHeight="1" thickBot="1" x14ac:dyDescent="0.35">
      <c r="A81" s="6"/>
      <c r="B81" s="5"/>
      <c r="C81" s="5"/>
    </row>
    <row r="82" spans="1:3" ht="26.4" customHeight="1" thickBot="1" x14ac:dyDescent="0.35">
      <c r="A82" s="6"/>
      <c r="B82" s="5"/>
      <c r="C82" s="5"/>
    </row>
    <row r="83" spans="1:3" ht="26.4" customHeight="1" thickBot="1" x14ac:dyDescent="0.35">
      <c r="A83" s="6"/>
      <c r="B83" s="5"/>
      <c r="C83" s="5"/>
    </row>
    <row r="84" spans="1:3" ht="26.4" customHeight="1" thickBot="1" x14ac:dyDescent="0.35">
      <c r="A84" s="6"/>
      <c r="B84" s="5"/>
      <c r="C84" s="5"/>
    </row>
    <row r="85" spans="1:3" ht="26.4" customHeight="1" thickBot="1" x14ac:dyDescent="0.35">
      <c r="A85" s="6"/>
      <c r="B85" s="5"/>
      <c r="C85" s="5"/>
    </row>
    <row r="86" spans="1:3" ht="26.4" customHeight="1" thickBot="1" x14ac:dyDescent="0.35">
      <c r="A86" s="6"/>
      <c r="B86" s="5"/>
      <c r="C86" s="5"/>
    </row>
    <row r="87" spans="1:3" ht="26.4" customHeight="1" thickBot="1" x14ac:dyDescent="0.35">
      <c r="A87" s="6"/>
      <c r="B87" s="5"/>
      <c r="C87" s="5"/>
    </row>
    <row r="88" spans="1:3" ht="26.4" customHeight="1" thickBot="1" x14ac:dyDescent="0.35">
      <c r="A88" s="6"/>
      <c r="B88" s="5"/>
      <c r="C88" s="5"/>
    </row>
    <row r="89" spans="1:3" ht="26.4" customHeight="1" thickBot="1" x14ac:dyDescent="0.35">
      <c r="A89" s="6"/>
      <c r="B89" s="5"/>
      <c r="C89" s="5"/>
    </row>
    <row r="90" spans="1:3" ht="26.4" customHeight="1" thickBot="1" x14ac:dyDescent="0.35">
      <c r="A90" s="6"/>
      <c r="B90" s="5"/>
      <c r="C90" s="5"/>
    </row>
    <row r="91" spans="1:3" ht="26.4" customHeight="1" thickBot="1" x14ac:dyDescent="0.35">
      <c r="A91" s="6"/>
      <c r="B91" s="5"/>
      <c r="C91" s="5"/>
    </row>
    <row r="92" spans="1:3" ht="26.4" customHeight="1" thickBot="1" x14ac:dyDescent="0.35">
      <c r="A92" s="6"/>
      <c r="B92" s="5"/>
      <c r="C92" s="5"/>
    </row>
    <row r="93" spans="1:3" ht="26.4" customHeight="1" thickBot="1" x14ac:dyDescent="0.35">
      <c r="A93" s="6"/>
      <c r="B93" s="5"/>
      <c r="C93" s="5"/>
    </row>
    <row r="94" spans="1:3" ht="26.4" customHeight="1" thickBot="1" x14ac:dyDescent="0.35">
      <c r="A94" s="6"/>
      <c r="B94" s="5"/>
      <c r="C94" s="5"/>
    </row>
    <row r="95" spans="1:3" ht="26.4" customHeight="1" thickBot="1" x14ac:dyDescent="0.35">
      <c r="A95" s="6"/>
      <c r="B95" s="5"/>
      <c r="C95" s="5"/>
    </row>
    <row r="96" spans="1:3" ht="26.4" customHeight="1" thickBot="1" x14ac:dyDescent="0.35">
      <c r="A96" s="6"/>
      <c r="B96" s="5"/>
      <c r="C96" s="5"/>
    </row>
    <row r="97" spans="1:3" ht="26.4" customHeight="1" thickBot="1" x14ac:dyDescent="0.35">
      <c r="A97" s="6"/>
      <c r="B97" s="5"/>
      <c r="C97" s="5"/>
    </row>
    <row r="98" spans="1:3" ht="26.4" customHeight="1" thickBot="1" x14ac:dyDescent="0.35">
      <c r="A98" s="6"/>
      <c r="B98" s="5"/>
      <c r="C98" s="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1EFE-FDDF-44A3-9EBF-64867BB568BD}">
  <dimension ref="A1:J52"/>
  <sheetViews>
    <sheetView tabSelected="1" workbookViewId="0">
      <selection activeCell="K19" sqref="K19"/>
    </sheetView>
  </sheetViews>
  <sheetFormatPr defaultColWidth="10.44140625" defaultRowHeight="18" customHeight="1" x14ac:dyDescent="0.3"/>
  <sheetData>
    <row r="1" spans="1:10" ht="18" customHeight="1" thickBot="1" x14ac:dyDescent="0.35">
      <c r="A1" t="s">
        <v>116</v>
      </c>
    </row>
    <row r="2" spans="1:10" ht="18" customHeight="1" thickBot="1" x14ac:dyDescent="0.3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15" t="s">
        <v>119</v>
      </c>
      <c r="I2" s="4"/>
      <c r="J2" s="4"/>
    </row>
    <row r="3" spans="1:10" ht="18" customHeight="1" thickBot="1" x14ac:dyDescent="0.35">
      <c r="A3" s="5">
        <v>1001</v>
      </c>
      <c r="B3" s="6" t="s">
        <v>25</v>
      </c>
      <c r="C3" s="6" t="s">
        <v>26</v>
      </c>
      <c r="D3" s="6" t="s">
        <v>27</v>
      </c>
      <c r="E3" s="5">
        <v>10</v>
      </c>
      <c r="F3" s="5">
        <v>50</v>
      </c>
      <c r="G3" s="7">
        <v>45413</v>
      </c>
      <c r="H3">
        <f>E3*F3</f>
        <v>500</v>
      </c>
      <c r="I3" s="6"/>
      <c r="J3" s="5"/>
    </row>
    <row r="4" spans="1:10" ht="18" customHeight="1" thickBot="1" x14ac:dyDescent="0.35">
      <c r="A4" s="5">
        <v>1002</v>
      </c>
      <c r="B4" s="6" t="s">
        <v>28</v>
      </c>
      <c r="C4" s="6" t="s">
        <v>29</v>
      </c>
      <c r="D4" s="6" t="s">
        <v>30</v>
      </c>
      <c r="E4" s="5">
        <v>20</v>
      </c>
      <c r="F4" s="5">
        <v>10</v>
      </c>
      <c r="G4" s="7">
        <v>45444</v>
      </c>
      <c r="H4">
        <f t="shared" ref="H4:H52" si="0">E4*F4</f>
        <v>200</v>
      </c>
      <c r="I4" s="6"/>
      <c r="J4" s="5"/>
    </row>
    <row r="5" spans="1:10" ht="18" customHeight="1" thickBot="1" x14ac:dyDescent="0.35">
      <c r="A5" s="5">
        <v>1003</v>
      </c>
      <c r="B5" s="6" t="s">
        <v>31</v>
      </c>
      <c r="C5" s="6" t="s">
        <v>32</v>
      </c>
      <c r="D5" s="6" t="s">
        <v>33</v>
      </c>
      <c r="E5" s="5">
        <v>15</v>
      </c>
      <c r="F5" s="5">
        <v>25</v>
      </c>
      <c r="G5" s="7">
        <v>45474</v>
      </c>
      <c r="H5">
        <f t="shared" si="0"/>
        <v>375</v>
      </c>
      <c r="I5" s="6"/>
      <c r="J5" s="5"/>
    </row>
    <row r="6" spans="1:10" ht="18" customHeight="1" thickBot="1" x14ac:dyDescent="0.35">
      <c r="A6" s="5">
        <v>1004</v>
      </c>
      <c r="B6" s="6" t="s">
        <v>34</v>
      </c>
      <c r="C6" s="6" t="s">
        <v>35</v>
      </c>
      <c r="D6" s="6" t="s">
        <v>27</v>
      </c>
      <c r="E6" s="5">
        <v>5</v>
      </c>
      <c r="F6" s="5">
        <v>50</v>
      </c>
      <c r="G6" s="7">
        <v>45505</v>
      </c>
      <c r="H6">
        <f t="shared" si="0"/>
        <v>250</v>
      </c>
      <c r="I6" s="6"/>
      <c r="J6" s="5"/>
    </row>
    <row r="7" spans="1:10" ht="18" customHeight="1" thickBot="1" x14ac:dyDescent="0.35">
      <c r="A7" s="5">
        <v>1005</v>
      </c>
      <c r="B7" s="6" t="s">
        <v>36</v>
      </c>
      <c r="C7" s="6" t="s">
        <v>26</v>
      </c>
      <c r="D7" s="6" t="s">
        <v>37</v>
      </c>
      <c r="E7" s="5">
        <v>30</v>
      </c>
      <c r="F7" s="5">
        <v>5</v>
      </c>
      <c r="G7" s="7">
        <v>45566</v>
      </c>
      <c r="H7">
        <f t="shared" si="0"/>
        <v>150</v>
      </c>
      <c r="I7" s="6"/>
      <c r="J7" s="5"/>
    </row>
    <row r="8" spans="1:10" ht="18" customHeight="1" thickBot="1" x14ac:dyDescent="0.35">
      <c r="A8" s="5">
        <v>1006</v>
      </c>
      <c r="B8" s="6" t="s">
        <v>38</v>
      </c>
      <c r="C8" s="6" t="s">
        <v>29</v>
      </c>
      <c r="D8" s="6" t="s">
        <v>27</v>
      </c>
      <c r="E8" s="5">
        <v>12</v>
      </c>
      <c r="F8" s="5">
        <v>50</v>
      </c>
      <c r="G8" s="7">
        <v>45597</v>
      </c>
      <c r="H8">
        <f t="shared" si="0"/>
        <v>600</v>
      </c>
      <c r="I8" s="6"/>
      <c r="J8" s="5"/>
    </row>
    <row r="9" spans="1:10" ht="18" customHeight="1" thickBot="1" x14ac:dyDescent="0.35">
      <c r="A9" s="5">
        <v>1007</v>
      </c>
      <c r="B9" s="6" t="s">
        <v>39</v>
      </c>
      <c r="C9" s="6" t="s">
        <v>32</v>
      </c>
      <c r="D9" s="6" t="s">
        <v>40</v>
      </c>
      <c r="E9" s="5">
        <v>25</v>
      </c>
      <c r="F9" s="5">
        <v>8</v>
      </c>
      <c r="G9" s="5" t="s">
        <v>41</v>
      </c>
      <c r="H9">
        <f t="shared" si="0"/>
        <v>200</v>
      </c>
      <c r="I9" s="6"/>
      <c r="J9" s="5"/>
    </row>
    <row r="10" spans="1:10" ht="18" customHeight="1" thickBot="1" x14ac:dyDescent="0.35">
      <c r="A10" s="5">
        <v>1008</v>
      </c>
      <c r="B10" s="6" t="s">
        <v>42</v>
      </c>
      <c r="C10" s="6" t="s">
        <v>35</v>
      </c>
      <c r="D10" s="6" t="s">
        <v>30</v>
      </c>
      <c r="E10" s="5">
        <v>18</v>
      </c>
      <c r="F10" s="5">
        <v>10</v>
      </c>
      <c r="G10" s="5" t="s">
        <v>43</v>
      </c>
      <c r="H10">
        <f t="shared" si="0"/>
        <v>180</v>
      </c>
      <c r="I10" s="6"/>
      <c r="J10" s="5"/>
    </row>
    <row r="11" spans="1:10" ht="18" customHeight="1" thickBot="1" x14ac:dyDescent="0.35">
      <c r="A11" s="5">
        <v>1009</v>
      </c>
      <c r="B11" s="6" t="s">
        <v>44</v>
      </c>
      <c r="C11" s="6" t="s">
        <v>26</v>
      </c>
      <c r="D11" s="6" t="s">
        <v>33</v>
      </c>
      <c r="E11" s="5">
        <v>22</v>
      </c>
      <c r="F11" s="5">
        <v>25</v>
      </c>
      <c r="G11" s="5" t="s">
        <v>45</v>
      </c>
      <c r="H11">
        <f t="shared" si="0"/>
        <v>550</v>
      </c>
      <c r="I11" s="6"/>
      <c r="J11" s="5"/>
    </row>
    <row r="12" spans="1:10" ht="18" customHeight="1" thickBot="1" x14ac:dyDescent="0.35">
      <c r="A12" s="5">
        <v>1010</v>
      </c>
      <c r="B12" s="6" t="s">
        <v>46</v>
      </c>
      <c r="C12" s="6" t="s">
        <v>29</v>
      </c>
      <c r="D12" s="6" t="s">
        <v>27</v>
      </c>
      <c r="E12" s="5">
        <v>8</v>
      </c>
      <c r="F12" s="5">
        <v>50</v>
      </c>
      <c r="G12" s="5" t="s">
        <v>47</v>
      </c>
      <c r="H12">
        <f t="shared" si="0"/>
        <v>400</v>
      </c>
      <c r="I12" s="6"/>
      <c r="J12" s="5"/>
    </row>
    <row r="13" spans="1:10" ht="18" customHeight="1" thickBot="1" x14ac:dyDescent="0.35">
      <c r="A13" s="5">
        <v>1011</v>
      </c>
      <c r="B13" s="6" t="s">
        <v>48</v>
      </c>
      <c r="C13" s="6" t="s">
        <v>32</v>
      </c>
      <c r="D13" s="6" t="s">
        <v>37</v>
      </c>
      <c r="E13" s="5">
        <v>40</v>
      </c>
      <c r="F13" s="5">
        <v>5</v>
      </c>
      <c r="G13" s="5" t="s">
        <v>49</v>
      </c>
      <c r="H13">
        <f t="shared" si="0"/>
        <v>200</v>
      </c>
      <c r="I13" s="6"/>
      <c r="J13" s="5"/>
    </row>
    <row r="14" spans="1:10" ht="18" customHeight="1" thickBot="1" x14ac:dyDescent="0.35">
      <c r="A14" s="5">
        <v>1012</v>
      </c>
      <c r="B14" s="6" t="s">
        <v>50</v>
      </c>
      <c r="C14" s="6" t="s">
        <v>35</v>
      </c>
      <c r="D14" s="6" t="s">
        <v>40</v>
      </c>
      <c r="E14" s="5">
        <v>35</v>
      </c>
      <c r="F14" s="5">
        <v>8</v>
      </c>
      <c r="G14" s="5" t="s">
        <v>51</v>
      </c>
      <c r="H14">
        <f t="shared" si="0"/>
        <v>280</v>
      </c>
      <c r="I14" s="6"/>
      <c r="J14" s="5"/>
    </row>
    <row r="15" spans="1:10" ht="18" customHeight="1" thickBot="1" x14ac:dyDescent="0.35">
      <c r="A15" s="5">
        <v>1013</v>
      </c>
      <c r="B15" s="6" t="s">
        <v>52</v>
      </c>
      <c r="C15" s="6" t="s">
        <v>26</v>
      </c>
      <c r="D15" s="6" t="s">
        <v>27</v>
      </c>
      <c r="E15" s="5">
        <v>14</v>
      </c>
      <c r="F15" s="5">
        <v>50</v>
      </c>
      <c r="G15" s="5" t="s">
        <v>53</v>
      </c>
      <c r="H15">
        <f t="shared" si="0"/>
        <v>700</v>
      </c>
      <c r="I15" s="6"/>
      <c r="J15" s="5"/>
    </row>
    <row r="16" spans="1:10" ht="18" customHeight="1" thickBot="1" x14ac:dyDescent="0.35">
      <c r="A16" s="5">
        <v>1014</v>
      </c>
      <c r="B16" s="6" t="s">
        <v>54</v>
      </c>
      <c r="C16" s="6" t="s">
        <v>29</v>
      </c>
      <c r="D16" s="6" t="s">
        <v>30</v>
      </c>
      <c r="E16" s="5">
        <v>28</v>
      </c>
      <c r="F16" s="5">
        <v>10</v>
      </c>
      <c r="G16" s="5" t="s">
        <v>55</v>
      </c>
      <c r="H16">
        <f t="shared" si="0"/>
        <v>280</v>
      </c>
      <c r="I16" s="6"/>
      <c r="J16" s="5"/>
    </row>
    <row r="17" spans="1:10" ht="18" customHeight="1" thickBot="1" x14ac:dyDescent="0.35">
      <c r="A17" s="5">
        <v>1015</v>
      </c>
      <c r="B17" s="6" t="s">
        <v>56</v>
      </c>
      <c r="C17" s="6" t="s">
        <v>32</v>
      </c>
      <c r="D17" s="6" t="s">
        <v>33</v>
      </c>
      <c r="E17" s="5">
        <v>12</v>
      </c>
      <c r="F17" s="5">
        <v>25</v>
      </c>
      <c r="G17" s="5" t="s">
        <v>57</v>
      </c>
      <c r="H17">
        <f t="shared" si="0"/>
        <v>300</v>
      </c>
      <c r="I17" s="6"/>
      <c r="J17" s="5"/>
    </row>
    <row r="18" spans="1:10" ht="18" customHeight="1" thickBot="1" x14ac:dyDescent="0.35">
      <c r="A18" s="5">
        <v>1016</v>
      </c>
      <c r="B18" s="6" t="s">
        <v>58</v>
      </c>
      <c r="C18" s="6" t="s">
        <v>35</v>
      </c>
      <c r="D18" s="6" t="s">
        <v>37</v>
      </c>
      <c r="E18" s="5">
        <v>25</v>
      </c>
      <c r="F18" s="5">
        <v>5</v>
      </c>
      <c r="G18" s="5" t="s">
        <v>59</v>
      </c>
      <c r="H18">
        <f t="shared" si="0"/>
        <v>125</v>
      </c>
      <c r="I18" s="6"/>
      <c r="J18" s="5"/>
    </row>
    <row r="19" spans="1:10" ht="18" customHeight="1" thickBot="1" x14ac:dyDescent="0.35">
      <c r="A19" s="5">
        <v>1017</v>
      </c>
      <c r="B19" s="6" t="s">
        <v>60</v>
      </c>
      <c r="C19" s="6" t="s">
        <v>26</v>
      </c>
      <c r="D19" s="6" t="s">
        <v>40</v>
      </c>
      <c r="E19" s="5">
        <v>20</v>
      </c>
      <c r="F19" s="5">
        <v>8</v>
      </c>
      <c r="G19" s="5" t="s">
        <v>61</v>
      </c>
      <c r="H19">
        <f t="shared" si="0"/>
        <v>160</v>
      </c>
      <c r="I19" s="6"/>
      <c r="J19" s="5"/>
    </row>
    <row r="20" spans="1:10" ht="18" customHeight="1" thickBot="1" x14ac:dyDescent="0.35">
      <c r="A20" s="5">
        <v>1018</v>
      </c>
      <c r="B20" s="6" t="s">
        <v>62</v>
      </c>
      <c r="C20" s="6" t="s">
        <v>29</v>
      </c>
      <c r="D20" s="6" t="s">
        <v>27</v>
      </c>
      <c r="E20" s="5">
        <v>10</v>
      </c>
      <c r="F20" s="5">
        <v>50</v>
      </c>
      <c r="G20" s="5" t="s">
        <v>63</v>
      </c>
      <c r="H20">
        <f t="shared" si="0"/>
        <v>500</v>
      </c>
      <c r="I20" s="6"/>
      <c r="J20" s="5"/>
    </row>
    <row r="21" spans="1:10" ht="18" customHeight="1" thickBot="1" x14ac:dyDescent="0.35">
      <c r="A21" s="5">
        <v>1019</v>
      </c>
      <c r="B21" s="6" t="s">
        <v>64</v>
      </c>
      <c r="C21" s="6" t="s">
        <v>32</v>
      </c>
      <c r="D21" s="6" t="s">
        <v>30</v>
      </c>
      <c r="E21" s="5">
        <v>15</v>
      </c>
      <c r="F21" s="5">
        <v>10</v>
      </c>
      <c r="G21" s="5" t="s">
        <v>65</v>
      </c>
      <c r="H21">
        <f t="shared" si="0"/>
        <v>150</v>
      </c>
      <c r="I21" s="6"/>
      <c r="J21" s="5"/>
    </row>
    <row r="22" spans="1:10" ht="18" customHeight="1" thickBot="1" x14ac:dyDescent="0.35">
      <c r="A22" s="5">
        <v>1020</v>
      </c>
      <c r="B22" s="6" t="s">
        <v>66</v>
      </c>
      <c r="C22" s="6" t="s">
        <v>35</v>
      </c>
      <c r="D22" s="6" t="s">
        <v>33</v>
      </c>
      <c r="E22" s="5">
        <v>18</v>
      </c>
      <c r="F22" s="5">
        <v>25</v>
      </c>
      <c r="G22" s="7">
        <v>45293</v>
      </c>
      <c r="H22">
        <f t="shared" si="0"/>
        <v>450</v>
      </c>
      <c r="I22" s="6"/>
      <c r="J22" s="5"/>
    </row>
    <row r="23" spans="1:10" ht="18" customHeight="1" thickBot="1" x14ac:dyDescent="0.35">
      <c r="A23" s="5">
        <v>1021</v>
      </c>
      <c r="B23" s="6" t="s">
        <v>67</v>
      </c>
      <c r="C23" s="6" t="s">
        <v>26</v>
      </c>
      <c r="D23" s="6" t="s">
        <v>27</v>
      </c>
      <c r="E23" s="5">
        <v>9</v>
      </c>
      <c r="F23" s="5">
        <v>50</v>
      </c>
      <c r="G23" s="7">
        <v>45324</v>
      </c>
      <c r="H23">
        <f t="shared" si="0"/>
        <v>450</v>
      </c>
      <c r="I23" s="6"/>
      <c r="J23" s="5"/>
    </row>
    <row r="24" spans="1:10" ht="18" customHeight="1" thickBot="1" x14ac:dyDescent="0.35">
      <c r="A24" s="5">
        <v>1022</v>
      </c>
      <c r="B24" s="6" t="s">
        <v>68</v>
      </c>
      <c r="C24" s="6" t="s">
        <v>29</v>
      </c>
      <c r="D24" s="6" t="s">
        <v>37</v>
      </c>
      <c r="E24" s="5">
        <v>35</v>
      </c>
      <c r="F24" s="5">
        <v>5</v>
      </c>
      <c r="G24" s="7">
        <v>45353</v>
      </c>
      <c r="H24">
        <f t="shared" si="0"/>
        <v>175</v>
      </c>
      <c r="I24" s="6"/>
      <c r="J24" s="5"/>
    </row>
    <row r="25" spans="1:10" ht="18" customHeight="1" thickBot="1" x14ac:dyDescent="0.35">
      <c r="A25" s="5">
        <v>1023</v>
      </c>
      <c r="B25" s="6" t="s">
        <v>69</v>
      </c>
      <c r="C25" s="6" t="s">
        <v>32</v>
      </c>
      <c r="D25" s="6" t="s">
        <v>40</v>
      </c>
      <c r="E25" s="5">
        <v>30</v>
      </c>
      <c r="F25" s="5">
        <v>8</v>
      </c>
      <c r="G25" s="7">
        <v>45384</v>
      </c>
      <c r="H25">
        <f t="shared" si="0"/>
        <v>240</v>
      </c>
      <c r="I25" s="6"/>
      <c r="J25" s="5"/>
    </row>
    <row r="26" spans="1:10" ht="18" customHeight="1" thickBot="1" x14ac:dyDescent="0.35">
      <c r="A26" s="5">
        <v>1024</v>
      </c>
      <c r="B26" s="6" t="s">
        <v>70</v>
      </c>
      <c r="C26" s="6" t="s">
        <v>35</v>
      </c>
      <c r="D26" s="6" t="s">
        <v>27</v>
      </c>
      <c r="E26" s="5">
        <v>11</v>
      </c>
      <c r="F26" s="5">
        <v>50</v>
      </c>
      <c r="G26" s="7">
        <v>45445</v>
      </c>
      <c r="H26">
        <f t="shared" si="0"/>
        <v>550</v>
      </c>
      <c r="I26" s="6"/>
      <c r="J26" s="5"/>
    </row>
    <row r="27" spans="1:10" ht="18" customHeight="1" thickBot="1" x14ac:dyDescent="0.35">
      <c r="A27" s="5">
        <v>1025</v>
      </c>
      <c r="B27" s="6" t="s">
        <v>71</v>
      </c>
      <c r="C27" s="6" t="s">
        <v>26</v>
      </c>
      <c r="D27" s="6" t="s">
        <v>30</v>
      </c>
      <c r="E27" s="5">
        <v>14</v>
      </c>
      <c r="F27" s="5">
        <v>10</v>
      </c>
      <c r="G27" s="7">
        <v>45475</v>
      </c>
      <c r="H27">
        <f t="shared" si="0"/>
        <v>140</v>
      </c>
      <c r="I27" s="6"/>
      <c r="J27" s="5"/>
    </row>
    <row r="28" spans="1:10" ht="18" customHeight="1" thickBot="1" x14ac:dyDescent="0.35">
      <c r="A28" s="5">
        <v>1026</v>
      </c>
      <c r="B28" s="6" t="s">
        <v>72</v>
      </c>
      <c r="C28" s="6" t="s">
        <v>29</v>
      </c>
      <c r="D28" s="6" t="s">
        <v>33</v>
      </c>
      <c r="E28" s="5">
        <v>16</v>
      </c>
      <c r="F28" s="5">
        <v>25</v>
      </c>
      <c r="G28" s="7">
        <v>45506</v>
      </c>
      <c r="H28">
        <f t="shared" si="0"/>
        <v>400</v>
      </c>
      <c r="I28" s="6"/>
      <c r="J28" s="5"/>
    </row>
    <row r="29" spans="1:10" ht="18" customHeight="1" thickBot="1" x14ac:dyDescent="0.35">
      <c r="A29" s="5">
        <v>1027</v>
      </c>
      <c r="B29" s="6" t="s">
        <v>73</v>
      </c>
      <c r="C29" s="6" t="s">
        <v>32</v>
      </c>
      <c r="D29" s="6" t="s">
        <v>37</v>
      </c>
      <c r="E29" s="5">
        <v>22</v>
      </c>
      <c r="F29" s="5">
        <v>5</v>
      </c>
      <c r="G29" s="7">
        <v>45537</v>
      </c>
      <c r="H29">
        <f t="shared" si="0"/>
        <v>110</v>
      </c>
      <c r="I29" s="6"/>
      <c r="J29" s="5"/>
    </row>
    <row r="30" spans="1:10" ht="18" customHeight="1" thickBot="1" x14ac:dyDescent="0.35">
      <c r="A30" s="5">
        <v>1028</v>
      </c>
      <c r="B30" s="6" t="s">
        <v>74</v>
      </c>
      <c r="C30" s="6" t="s">
        <v>35</v>
      </c>
      <c r="D30" s="6" t="s">
        <v>40</v>
      </c>
      <c r="E30" s="5">
        <v>27</v>
      </c>
      <c r="F30" s="5">
        <v>8</v>
      </c>
      <c r="G30" s="7">
        <v>45567</v>
      </c>
      <c r="H30">
        <f t="shared" si="0"/>
        <v>216</v>
      </c>
      <c r="I30" s="6"/>
      <c r="J30" s="5"/>
    </row>
    <row r="31" spans="1:10" ht="18" customHeight="1" thickBot="1" x14ac:dyDescent="0.35">
      <c r="A31" s="5">
        <v>1029</v>
      </c>
      <c r="B31" s="6" t="s">
        <v>75</v>
      </c>
      <c r="C31" s="6" t="s">
        <v>26</v>
      </c>
      <c r="D31" s="6" t="s">
        <v>27</v>
      </c>
      <c r="E31" s="5">
        <v>13</v>
      </c>
      <c r="F31" s="5">
        <v>50</v>
      </c>
      <c r="G31" s="7">
        <v>45628</v>
      </c>
      <c r="H31">
        <f t="shared" si="0"/>
        <v>650</v>
      </c>
      <c r="I31" s="6"/>
      <c r="J31" s="5"/>
    </row>
    <row r="32" spans="1:10" ht="18" customHeight="1" thickBot="1" x14ac:dyDescent="0.35">
      <c r="A32" s="5">
        <v>1030</v>
      </c>
      <c r="B32" s="6" t="s">
        <v>76</v>
      </c>
      <c r="C32" s="6" t="s">
        <v>29</v>
      </c>
      <c r="D32" s="6" t="s">
        <v>30</v>
      </c>
      <c r="E32" s="5">
        <v>32</v>
      </c>
      <c r="F32" s="5">
        <v>10</v>
      </c>
      <c r="G32" s="5" t="s">
        <v>77</v>
      </c>
      <c r="H32">
        <f t="shared" si="0"/>
        <v>320</v>
      </c>
      <c r="I32" s="6"/>
      <c r="J32" s="5"/>
    </row>
    <row r="33" spans="1:10" ht="18" customHeight="1" thickBot="1" x14ac:dyDescent="0.35">
      <c r="A33" s="5">
        <v>1031</v>
      </c>
      <c r="B33" s="6" t="s">
        <v>78</v>
      </c>
      <c r="C33" s="6" t="s">
        <v>32</v>
      </c>
      <c r="D33" s="6" t="s">
        <v>33</v>
      </c>
      <c r="E33" s="5">
        <v>10</v>
      </c>
      <c r="F33" s="5">
        <v>25</v>
      </c>
      <c r="G33" s="5" t="s">
        <v>79</v>
      </c>
      <c r="H33">
        <f t="shared" si="0"/>
        <v>250</v>
      </c>
      <c r="I33" s="6"/>
      <c r="J33" s="5"/>
    </row>
    <row r="34" spans="1:10" ht="18" customHeight="1" thickBot="1" x14ac:dyDescent="0.35">
      <c r="A34" s="5">
        <v>1032</v>
      </c>
      <c r="B34" s="6" t="s">
        <v>80</v>
      </c>
      <c r="C34" s="6" t="s">
        <v>35</v>
      </c>
      <c r="D34" s="6" t="s">
        <v>37</v>
      </c>
      <c r="E34" s="5">
        <v>18</v>
      </c>
      <c r="F34" s="5">
        <v>5</v>
      </c>
      <c r="G34" s="5" t="s">
        <v>81</v>
      </c>
      <c r="H34">
        <f t="shared" si="0"/>
        <v>90</v>
      </c>
      <c r="I34" s="6"/>
      <c r="J34" s="5"/>
    </row>
    <row r="35" spans="1:10" ht="18" customHeight="1" thickBot="1" x14ac:dyDescent="0.35">
      <c r="A35" s="5">
        <v>1033</v>
      </c>
      <c r="B35" s="6" t="s">
        <v>82</v>
      </c>
      <c r="C35" s="6" t="s">
        <v>26</v>
      </c>
      <c r="D35" s="6" t="s">
        <v>40</v>
      </c>
      <c r="E35" s="5">
        <v>22</v>
      </c>
      <c r="F35" s="5">
        <v>8</v>
      </c>
      <c r="G35" s="5" t="s">
        <v>83</v>
      </c>
      <c r="H35">
        <f t="shared" si="0"/>
        <v>176</v>
      </c>
      <c r="I35" s="6"/>
      <c r="J35" s="5"/>
    </row>
    <row r="36" spans="1:10" ht="18" customHeight="1" thickBot="1" x14ac:dyDescent="0.35">
      <c r="A36" s="5">
        <v>1034</v>
      </c>
      <c r="B36" s="6" t="s">
        <v>84</v>
      </c>
      <c r="C36" s="6" t="s">
        <v>29</v>
      </c>
      <c r="D36" s="6" t="s">
        <v>27</v>
      </c>
      <c r="E36" s="5">
        <v>17</v>
      </c>
      <c r="F36" s="5">
        <v>50</v>
      </c>
      <c r="G36" s="5" t="s">
        <v>85</v>
      </c>
      <c r="H36">
        <f t="shared" si="0"/>
        <v>850</v>
      </c>
      <c r="I36" s="6"/>
      <c r="J36" s="5"/>
    </row>
    <row r="37" spans="1:10" ht="18" customHeight="1" thickBot="1" x14ac:dyDescent="0.35">
      <c r="A37" s="5">
        <v>1035</v>
      </c>
      <c r="B37" s="6" t="s">
        <v>86</v>
      </c>
      <c r="C37" s="6" t="s">
        <v>32</v>
      </c>
      <c r="D37" s="6" t="s">
        <v>30</v>
      </c>
      <c r="E37" s="5">
        <v>19</v>
      </c>
      <c r="F37" s="5">
        <v>10</v>
      </c>
      <c r="G37" s="5" t="s">
        <v>87</v>
      </c>
      <c r="H37">
        <f t="shared" si="0"/>
        <v>190</v>
      </c>
      <c r="I37" s="6"/>
      <c r="J37" s="5"/>
    </row>
    <row r="38" spans="1:10" ht="18" customHeight="1" thickBot="1" x14ac:dyDescent="0.35">
      <c r="A38" s="5">
        <v>1036</v>
      </c>
      <c r="B38" s="6" t="s">
        <v>88</v>
      </c>
      <c r="C38" s="6" t="s">
        <v>35</v>
      </c>
      <c r="D38" s="6" t="s">
        <v>33</v>
      </c>
      <c r="E38" s="5">
        <v>15</v>
      </c>
      <c r="F38" s="5">
        <v>25</v>
      </c>
      <c r="G38" s="5" t="s">
        <v>89</v>
      </c>
      <c r="H38">
        <f t="shared" si="0"/>
        <v>375</v>
      </c>
      <c r="I38" s="6"/>
      <c r="J38" s="5"/>
    </row>
    <row r="39" spans="1:10" ht="18" customHeight="1" thickBot="1" x14ac:dyDescent="0.35">
      <c r="A39" s="5">
        <v>1037</v>
      </c>
      <c r="B39" s="6" t="s">
        <v>90</v>
      </c>
      <c r="C39" s="6" t="s">
        <v>26</v>
      </c>
      <c r="D39" s="6" t="s">
        <v>37</v>
      </c>
      <c r="E39" s="5">
        <v>28</v>
      </c>
      <c r="F39" s="5">
        <v>5</v>
      </c>
      <c r="G39" s="5" t="s">
        <v>91</v>
      </c>
      <c r="H39">
        <f t="shared" si="0"/>
        <v>140</v>
      </c>
      <c r="I39" s="6"/>
      <c r="J39" s="5"/>
    </row>
    <row r="40" spans="1:10" ht="18" customHeight="1" thickBot="1" x14ac:dyDescent="0.35">
      <c r="A40" s="5">
        <v>1038</v>
      </c>
      <c r="B40" s="6" t="s">
        <v>92</v>
      </c>
      <c r="C40" s="6" t="s">
        <v>29</v>
      </c>
      <c r="D40" s="6" t="s">
        <v>40</v>
      </c>
      <c r="E40" s="5">
        <v>24</v>
      </c>
      <c r="F40" s="5">
        <v>8</v>
      </c>
      <c r="G40" s="5" t="s">
        <v>93</v>
      </c>
      <c r="H40">
        <f t="shared" si="0"/>
        <v>192</v>
      </c>
      <c r="I40" s="6"/>
      <c r="J40" s="5"/>
    </row>
    <row r="41" spans="1:10" ht="18" customHeight="1" thickBot="1" x14ac:dyDescent="0.35">
      <c r="A41" s="5">
        <v>1039</v>
      </c>
      <c r="B41" s="6" t="s">
        <v>94</v>
      </c>
      <c r="C41" s="6" t="s">
        <v>32</v>
      </c>
      <c r="D41" s="6" t="s">
        <v>27</v>
      </c>
      <c r="E41" s="5">
        <v>16</v>
      </c>
      <c r="F41" s="5">
        <v>50</v>
      </c>
      <c r="G41" s="5" t="s">
        <v>95</v>
      </c>
      <c r="H41">
        <f t="shared" si="0"/>
        <v>800</v>
      </c>
      <c r="I41" s="6"/>
      <c r="J41" s="5"/>
    </row>
    <row r="42" spans="1:10" ht="18" customHeight="1" thickBot="1" x14ac:dyDescent="0.35">
      <c r="A42" s="5">
        <v>1040</v>
      </c>
      <c r="B42" s="6" t="s">
        <v>96</v>
      </c>
      <c r="C42" s="6" t="s">
        <v>35</v>
      </c>
      <c r="D42" s="6" t="s">
        <v>30</v>
      </c>
      <c r="E42" s="5">
        <v>27</v>
      </c>
      <c r="F42" s="5">
        <v>10</v>
      </c>
      <c r="G42" s="5" t="s">
        <v>97</v>
      </c>
      <c r="H42">
        <f t="shared" si="0"/>
        <v>270</v>
      </c>
      <c r="I42" s="6"/>
      <c r="J42" s="5"/>
    </row>
    <row r="43" spans="1:10" ht="18" customHeight="1" thickBot="1" x14ac:dyDescent="0.35">
      <c r="A43" s="5">
        <v>1041</v>
      </c>
      <c r="B43" s="6" t="s">
        <v>98</v>
      </c>
      <c r="C43" s="6" t="s">
        <v>26</v>
      </c>
      <c r="D43" s="6" t="s">
        <v>33</v>
      </c>
      <c r="E43" s="5">
        <v>21</v>
      </c>
      <c r="F43" s="5">
        <v>25</v>
      </c>
      <c r="G43" s="5" t="s">
        <v>99</v>
      </c>
      <c r="H43">
        <f t="shared" si="0"/>
        <v>525</v>
      </c>
      <c r="I43" s="6"/>
      <c r="J43" s="5"/>
    </row>
    <row r="44" spans="1:10" ht="18" customHeight="1" thickBot="1" x14ac:dyDescent="0.35">
      <c r="A44" s="5">
        <v>1042</v>
      </c>
      <c r="B44" s="6" t="s">
        <v>100</v>
      </c>
      <c r="C44" s="6" t="s">
        <v>29</v>
      </c>
      <c r="D44" s="6" t="s">
        <v>37</v>
      </c>
      <c r="E44" s="5">
        <v>30</v>
      </c>
      <c r="F44" s="5">
        <v>5</v>
      </c>
      <c r="G44" s="5" t="s">
        <v>101</v>
      </c>
      <c r="H44">
        <f t="shared" si="0"/>
        <v>150</v>
      </c>
      <c r="I44" s="6"/>
      <c r="J44" s="5"/>
    </row>
    <row r="45" spans="1:10" ht="18" customHeight="1" thickBot="1" x14ac:dyDescent="0.35">
      <c r="A45" s="5">
        <v>1043</v>
      </c>
      <c r="B45" s="6" t="s">
        <v>102</v>
      </c>
      <c r="C45" s="6" t="s">
        <v>32</v>
      </c>
      <c r="D45" s="6" t="s">
        <v>40</v>
      </c>
      <c r="E45" s="5">
        <v>26</v>
      </c>
      <c r="F45" s="5">
        <v>8</v>
      </c>
      <c r="G45" s="7">
        <v>45294</v>
      </c>
      <c r="H45">
        <f t="shared" si="0"/>
        <v>208</v>
      </c>
      <c r="I45" s="6"/>
      <c r="J45" s="5"/>
    </row>
    <row r="46" spans="1:10" ht="18" customHeight="1" thickBot="1" x14ac:dyDescent="0.35">
      <c r="A46" s="5">
        <v>1044</v>
      </c>
      <c r="B46" s="6" t="s">
        <v>103</v>
      </c>
      <c r="C46" s="6" t="s">
        <v>35</v>
      </c>
      <c r="D46" s="6" t="s">
        <v>27</v>
      </c>
      <c r="E46" s="5">
        <v>14</v>
      </c>
      <c r="F46" s="5">
        <v>50</v>
      </c>
      <c r="G46" s="7">
        <v>45325</v>
      </c>
      <c r="H46">
        <f t="shared" si="0"/>
        <v>700</v>
      </c>
      <c r="I46" s="6"/>
      <c r="J46" s="5"/>
    </row>
    <row r="47" spans="1:10" ht="18" customHeight="1" thickBot="1" x14ac:dyDescent="0.35">
      <c r="A47" s="5">
        <v>1045</v>
      </c>
      <c r="B47" s="6" t="s">
        <v>104</v>
      </c>
      <c r="C47" s="6" t="s">
        <v>26</v>
      </c>
      <c r="D47" s="6" t="s">
        <v>30</v>
      </c>
      <c r="E47" s="5">
        <v>20</v>
      </c>
      <c r="F47" s="5">
        <v>10</v>
      </c>
      <c r="G47" s="7">
        <v>45354</v>
      </c>
      <c r="H47">
        <f t="shared" si="0"/>
        <v>200</v>
      </c>
      <c r="I47" s="6"/>
      <c r="J47" s="5"/>
    </row>
    <row r="48" spans="1:10" ht="18" customHeight="1" thickBot="1" x14ac:dyDescent="0.35">
      <c r="A48" s="5">
        <v>1046</v>
      </c>
      <c r="B48" s="6" t="s">
        <v>105</v>
      </c>
      <c r="C48" s="6" t="s">
        <v>29</v>
      </c>
      <c r="D48" s="6" t="s">
        <v>33</v>
      </c>
      <c r="E48" s="5">
        <v>17</v>
      </c>
      <c r="F48" s="5">
        <v>25</v>
      </c>
      <c r="G48" s="7">
        <v>45385</v>
      </c>
      <c r="H48">
        <f t="shared" si="0"/>
        <v>425</v>
      </c>
      <c r="I48" s="6"/>
      <c r="J48" s="5"/>
    </row>
    <row r="49" spans="1:10" ht="18" customHeight="1" thickBot="1" x14ac:dyDescent="0.35">
      <c r="A49" s="5">
        <v>1047</v>
      </c>
      <c r="B49" s="6" t="s">
        <v>106</v>
      </c>
      <c r="C49" s="6" t="s">
        <v>32</v>
      </c>
      <c r="D49" s="6" t="s">
        <v>37</v>
      </c>
      <c r="E49" s="5">
        <v>19</v>
      </c>
      <c r="F49" s="5">
        <v>5</v>
      </c>
      <c r="G49" s="7">
        <v>45415</v>
      </c>
      <c r="H49">
        <f t="shared" si="0"/>
        <v>95</v>
      </c>
      <c r="I49" s="6"/>
      <c r="J49" s="5"/>
    </row>
    <row r="50" spans="1:10" ht="18" customHeight="1" thickBot="1" x14ac:dyDescent="0.35">
      <c r="A50" s="5">
        <v>1048</v>
      </c>
      <c r="B50" s="6" t="s">
        <v>107</v>
      </c>
      <c r="C50" s="6" t="s">
        <v>35</v>
      </c>
      <c r="D50" s="6" t="s">
        <v>40</v>
      </c>
      <c r="E50" s="5">
        <v>32</v>
      </c>
      <c r="F50" s="5">
        <v>8</v>
      </c>
      <c r="G50" s="7">
        <v>45446</v>
      </c>
      <c r="H50">
        <f t="shared" si="0"/>
        <v>256</v>
      </c>
      <c r="I50" s="6"/>
      <c r="J50" s="5"/>
    </row>
    <row r="51" spans="1:10" ht="18" customHeight="1" thickBot="1" x14ac:dyDescent="0.35">
      <c r="A51" s="5">
        <v>1049</v>
      </c>
      <c r="B51" s="6" t="s">
        <v>108</v>
      </c>
      <c r="C51" s="6" t="s">
        <v>26</v>
      </c>
      <c r="D51" s="6" t="s">
        <v>27</v>
      </c>
      <c r="E51" s="5">
        <v>12</v>
      </c>
      <c r="F51" s="5">
        <v>50</v>
      </c>
      <c r="G51" s="7">
        <v>45476</v>
      </c>
      <c r="H51">
        <f t="shared" si="0"/>
        <v>600</v>
      </c>
      <c r="I51" s="6"/>
      <c r="J51" s="5"/>
    </row>
    <row r="52" spans="1:10" ht="18" customHeight="1" thickBot="1" x14ac:dyDescent="0.35">
      <c r="A52" s="5">
        <v>1050</v>
      </c>
      <c r="B52" s="6" t="s">
        <v>109</v>
      </c>
      <c r="C52" s="6" t="s">
        <v>29</v>
      </c>
      <c r="D52" s="6" t="s">
        <v>30</v>
      </c>
      <c r="E52" s="5">
        <v>25</v>
      </c>
      <c r="F52" s="5">
        <v>10</v>
      </c>
      <c r="G52" s="7">
        <v>45507</v>
      </c>
      <c r="H52">
        <f t="shared" si="0"/>
        <v>250</v>
      </c>
      <c r="I52" s="6"/>
      <c r="J52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Q.1</vt:lpstr>
      <vt:lpstr>Q.2</vt:lpstr>
      <vt:lpstr>Q.3.</vt:lpstr>
      <vt:lpstr>Q.4</vt:lpstr>
      <vt:lpstr>Q.5</vt:lpstr>
      <vt:lpstr>Q.6</vt:lpstr>
      <vt:lpstr>Q.7</vt:lpstr>
      <vt:lpstr>Q.8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kumari</dc:creator>
  <cp:lastModifiedBy>Shivangi kumari</cp:lastModifiedBy>
  <dcterms:created xsi:type="dcterms:W3CDTF">2025-12-18T09:51:24Z</dcterms:created>
  <dcterms:modified xsi:type="dcterms:W3CDTF">2025-12-18T16:32:54Z</dcterms:modified>
</cp:coreProperties>
</file>